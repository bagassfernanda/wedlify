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Proyek" sheetId="1" state="visible" r:id="rId1"/>
    <sheet name="02_BVA" sheetId="2" state="visible" r:id="rId2"/>
    <sheet name="03_EP" sheetId="3" state="visible" r:id="rId3"/>
    <sheet name="04_Rancangan_dan_Eksekusi" sheetId="4" state="visible" r:id="rId4"/>
    <sheet name="05_Traceability" sheetId="5" state="visible" r:id="rId5"/>
    <sheet name="06_Indeks_Incident"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sz val="10"/>
    </font>
    <font>
      <name val="Arial"/>
      <b val="1"/>
      <sz val="10"/>
    </font>
    <font>
      <name val="Arial"/>
      <b val="1"/>
      <color rgb="00FFFFFF"/>
      <sz val="10"/>
    </font>
    <font>
      <name val="Arial"/>
      <color rgb="000563C1"/>
      <sz val="10"/>
      <u val="single"/>
    </font>
  </fonts>
  <fills count="5">
    <fill>
      <patternFill/>
    </fill>
    <fill>
      <patternFill patternType="gray125"/>
    </fill>
    <fill>
      <patternFill patternType="solid">
        <fgColor rgb="00FFFF00"/>
      </patternFill>
    </fill>
    <fill>
      <patternFill patternType="solid">
        <fgColor rgb="001F3864"/>
      </patternFill>
    </fill>
    <fill>
      <patternFill patternType="solid">
        <fgColor rgb="00FCE4D6"/>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1" applyAlignment="1" pivotButton="0" quotePrefix="0" xfId="0">
      <alignment vertical="top" wrapText="1"/>
    </xf>
    <xf numFmtId="0" fontId="2" fillId="2" borderId="1" applyAlignment="1" pivotButton="0" quotePrefix="0" xfId="0">
      <alignment vertical="top" wrapText="1"/>
    </xf>
    <xf numFmtId="0" fontId="0" fillId="0" borderId="4" pivotButton="0" quotePrefix="0" xfId="0"/>
    <xf numFmtId="0" fontId="0" fillId="0" borderId="5" pivotButton="0" quotePrefix="0" xfId="0"/>
    <xf numFmtId="0" fontId="2" fillId="0" borderId="1" applyAlignment="1" pivotButton="0" quotePrefix="0" xfId="0">
      <alignment vertical="top" wrapText="1"/>
    </xf>
    <xf numFmtId="0" fontId="3" fillId="0" borderId="0"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github.com/bagassfernanda/wedlify/blob/main/docs/modul3/bukti/TC-BVA-01.png" TargetMode="External" Id="rId1" /><Relationship Type="http://schemas.openxmlformats.org/officeDocument/2006/relationships/hyperlink" Target="https://github.com/bagassfernanda/wedlify/blob/main/docs/modul3/bukti/TC-BVA-02.png" TargetMode="External" Id="rId2" /><Relationship Type="http://schemas.openxmlformats.org/officeDocument/2006/relationships/hyperlink" Target="https://github.com/bagassfernanda/wedlify/blob/main/docs/modul3/bukti/TC-BVA-03.png" TargetMode="External" Id="rId3" /><Relationship Type="http://schemas.openxmlformats.org/officeDocument/2006/relationships/hyperlink" Target="https://github.com/bagassfernanda/wedlify/blob/main/docs/modul3/bukti/TC-BVA-04.png" TargetMode="External" Id="rId4" /><Relationship Type="http://schemas.openxmlformats.org/officeDocument/2006/relationships/hyperlink" Target="https://github.com/bagassfernanda/wedlify/blob/main/docs/modul3/bukti/TC-BVA-05.png" TargetMode="External" Id="rId5" /><Relationship Type="http://schemas.openxmlformats.org/officeDocument/2006/relationships/hyperlink" Target="https://github.com/bagassfernanda/wedlify/blob/main/docs/modul3/bukti/TC-BVA-06.png" TargetMode="External" Id="rId6" /><Relationship Type="http://schemas.openxmlformats.org/officeDocument/2006/relationships/hyperlink" Target="https://github.com/bagassfernanda/wedlify/blob/main/docs/modul3/bukti/TC-BVA-07.png" TargetMode="External" Id="rId7" /><Relationship Type="http://schemas.openxmlformats.org/officeDocument/2006/relationships/hyperlink" Target="https://github.com/bagassfernanda/wedlify/blob/main/docs/modul3/bukti/TC-BVA-08.png" TargetMode="External" Id="rId8" /><Relationship Type="http://schemas.openxmlformats.org/officeDocument/2006/relationships/hyperlink" Target="https://github.com/bagassfernanda/wedlify/blob/main/docs/modul3/bukti/TC-BVA-09.png" TargetMode="External" Id="rId9" /><Relationship Type="http://schemas.openxmlformats.org/officeDocument/2006/relationships/hyperlink" Target="https://github.com/bagassfernanda/wedlify/blob/main/docs/modul3/bukti/TC-EP-01.png" TargetMode="External" Id="rId10" /><Relationship Type="http://schemas.openxmlformats.org/officeDocument/2006/relationships/hyperlink" Target="https://github.com/bagassfernanda/wedlify/blob/main/docs/modul3/bukti/TC-EP-02.png" TargetMode="External" Id="rId11" /><Relationship Type="http://schemas.openxmlformats.org/officeDocument/2006/relationships/hyperlink" Target="https://github.com/bagassfernanda/wedlify/blob/main/docs/modul3/bukti/TC-EP-03.png" TargetMode="External" Id="rId12" /><Relationship Type="http://schemas.openxmlformats.org/officeDocument/2006/relationships/hyperlink" Target="https://github.com/bagassfernanda/wedlify/blob/main/docs/modul3/bukti/TC-EP-04.png" TargetMode="External" Id="rId13" /><Relationship Type="http://schemas.openxmlformats.org/officeDocument/2006/relationships/hyperlink" Target="https://github.com/bagassfernanda/wedlify/blob/main/docs/modul3/bukti/TC-EP-05.png" TargetMode="External" Id="rId14" /><Relationship Type="http://schemas.openxmlformats.org/officeDocument/2006/relationships/hyperlink" Target="https://github.com/bagassfernanda/wedlify/blob/main/docs/modul3/bukti/TC-EP-06.png" TargetMode="External" Id="rId15" /><Relationship Type="http://schemas.openxmlformats.org/officeDocument/2006/relationships/hyperlink" Target="https://github.com/bagassfernanda/wedlify/blob/main/docs/modul3/bukti/TC-EP-07.png" TargetMode="External" Id="rId16" /><Relationship Type="http://schemas.openxmlformats.org/officeDocument/2006/relationships/hyperlink" Target="https://github.com/bagassfernanda/wedlify/blob/main/docs/modul3/bukti/TC-EP-08.png" TargetMode="External" Id="rId17" /><Relationship Type="http://schemas.openxmlformats.org/officeDocument/2006/relationships/hyperlink" Target="https://github.com/bagassfernanda/wedlify/blob/main/docs/modul3/bukti/TC-EP-09.png" TargetMode="External" Id="rId18" /></Relationships>
</file>

<file path=xl/worksheets/_rels/sheet6.xml.rels><Relationships xmlns="http://schemas.openxmlformats.org/package/2006/relationships"><Relationship Type="http://schemas.openxmlformats.org/officeDocument/2006/relationships/hyperlink" Target="https://github.com/bagassfernanda/wedlify/blob/main/docs/modul3/INC-001.md" TargetMode="External" Id="rId1" /><Relationship Type="http://schemas.openxmlformats.org/officeDocument/2006/relationships/hyperlink" Target="https://github.com/bagassfernanda/wedlify/blob/main/docs/modul3/bukti/INC-001-saat-menunggu.png" TargetMode="External" Id="rId2" /></Relationships>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0" customWidth="1" min="1" max="1"/>
    <col width="34" customWidth="1" min="2" max="2"/>
    <col width="34" customWidth="1" min="3" max="3"/>
    <col width="44" customWidth="1" min="4" max="4"/>
    <col width="18" customWidth="1" min="5" max="5"/>
    <col width="14" customWidth="1" min="6" max="6"/>
  </cols>
  <sheetData>
    <row r="1">
      <c r="A1" s="1" t="inlineStr">
        <is>
          <t>01_Proyek: Identitas Project dan Review Test Basis</t>
        </is>
      </c>
    </row>
    <row r="2" ht="30" customHeight="1">
      <c r="A2" s="2" t="inlineStr">
        <is>
          <t>Sel berwarna kuning diisi oleh praktikan. Sel lain berasal dari project dan dokumen kebutuhan.</t>
        </is>
      </c>
    </row>
    <row r="4">
      <c r="A4" s="3" t="inlineStr">
        <is>
          <t>Nama praktikan</t>
        </is>
      </c>
      <c r="B4" s="4" t="inlineStr">
        <is>
          <t>(isi nama)</t>
        </is>
      </c>
      <c r="C4" s="5" t="n"/>
      <c r="D4" s="5" t="n"/>
      <c r="E4" s="5" t="n"/>
      <c r="F4" s="6" t="n"/>
    </row>
    <row r="5">
      <c r="A5" s="3" t="inlineStr">
        <is>
          <t>NIM / Kelas</t>
        </is>
      </c>
      <c r="B5" s="4" t="inlineStr">
        <is>
          <t>(isi)</t>
        </is>
      </c>
      <c r="C5" s="5" t="n"/>
      <c r="D5" s="5" t="n"/>
      <c r="E5" s="5" t="n"/>
      <c r="F5" s="6" t="n"/>
    </row>
    <row r="6">
      <c r="A6" s="3" t="inlineStr">
        <is>
          <t>Project</t>
        </is>
      </c>
      <c r="B6" s="7" t="inlineStr">
        <is>
          <t>Wedlify, aplikasi web pemesanan undangan pernikahan</t>
        </is>
      </c>
      <c r="C6" s="5" t="n"/>
      <c r="D6" s="5" t="n"/>
      <c r="E6" s="5" t="n"/>
      <c r="F6" s="6" t="n"/>
    </row>
    <row r="7">
      <c r="A7" s="3" t="inlineStr">
        <is>
          <t>Platform</t>
        </is>
      </c>
      <c r="B7" s="7" t="inlineStr">
        <is>
          <t>Web</t>
        </is>
      </c>
      <c r="C7" s="5" t="n"/>
      <c r="D7" s="5" t="n"/>
      <c r="E7" s="5" t="n"/>
      <c r="F7" s="6" t="n"/>
    </row>
    <row r="8">
      <c r="A8" s="3" t="inlineStr">
        <is>
          <t>Role yang diuji</t>
        </is>
      </c>
      <c r="B8" s="7" t="inlineStr">
        <is>
          <t>User (pelanggan terdaftar)</t>
        </is>
      </c>
      <c r="C8" s="5" t="n"/>
      <c r="D8" s="5" t="n"/>
      <c r="E8" s="5" t="n"/>
      <c r="F8" s="6" t="n"/>
    </row>
    <row r="9">
      <c r="A9" s="3" t="inlineStr">
        <is>
          <t>Fitur yang diuji</t>
        </is>
      </c>
      <c r="B9" s="7" t="inlineStr">
        <is>
          <t>F04 Kelola Pesanan, form Buat Pesanan, beserta aturan harga F05</t>
        </is>
      </c>
      <c r="C9" s="5" t="n"/>
      <c r="D9" s="5" t="n"/>
      <c r="E9" s="5" t="n"/>
      <c r="F9" s="6" t="n"/>
    </row>
    <row r="10">
      <c r="A10" s="3" t="inlineStr">
        <is>
          <t>Input yang dianalisis</t>
        </is>
      </c>
      <c r="B10" s="7" t="inlineStr">
        <is>
          <t>Jumlah Tamu dan Cetak Tambahan: dua input angka yang saling bebas</t>
        </is>
      </c>
      <c r="C10" s="5" t="n"/>
      <c r="D10" s="5" t="n"/>
      <c r="E10" s="5" t="n"/>
      <c r="F10" s="6" t="n"/>
    </row>
    <row r="11">
      <c r="A11" s="3" t="inlineStr">
        <is>
          <t>Test basis</t>
        </is>
      </c>
      <c r="B11" s="7" t="inlineStr">
        <is>
          <t>docs/REQUIREMENTS_AKUN_PESANAN.md: REQ-009, REQ-010, REQ-015, REQ-016 dengan aturan BR-22, BR-30, BR-31, BR-32, BR-33</t>
        </is>
      </c>
      <c r="C11" s="5" t="n"/>
      <c r="D11" s="5" t="n"/>
      <c r="E11" s="5" t="n"/>
      <c r="F11" s="6" t="n"/>
    </row>
    <row r="12">
      <c r="A12" s="3" t="inlineStr">
        <is>
          <t>Test condition (Modul 2)</t>
        </is>
      </c>
      <c r="B12" s="7" t="inlineStr">
        <is>
          <t>TCD-022, TCD-025, TCD-037, TCD-038</t>
        </is>
      </c>
      <c r="C12" s="5" t="n"/>
      <c r="D12" s="5" t="n"/>
      <c r="E12" s="5" t="n"/>
      <c r="F12" s="6" t="n"/>
    </row>
    <row r="13">
      <c r="A13" s="3" t="inlineStr">
        <is>
          <t>Lingkungan uji</t>
        </is>
      </c>
      <c r="B13" s="7" t="inlineStr">
        <is>
          <t>MacBook Air M1, macOS 26.6.2, Google Chrome 154, aplikasi lokal (npm run dev), database awal</t>
        </is>
      </c>
      <c r="C13" s="5" t="n"/>
      <c r="D13" s="5" t="n"/>
      <c r="E13" s="5" t="n"/>
      <c r="F13" s="6" t="n"/>
    </row>
    <row r="14">
      <c r="A14" s="3" t="inlineStr">
        <is>
          <t>Alamat aplikasi saat eksekusi</t>
        </is>
      </c>
      <c r="B14" s="7" t="inlineStr">
        <is>
          <t>http://localhost:3100 (server lokal dengan database baru)</t>
        </is>
      </c>
      <c r="C14" s="5" t="n"/>
      <c r="D14" s="5" t="n"/>
      <c r="E14" s="5" t="n"/>
      <c r="F14" s="6" t="n"/>
    </row>
    <row r="15">
      <c r="A15" s="3" t="inlineStr">
        <is>
          <t>Akun uji</t>
        </is>
      </c>
      <c r="B15" s="7" t="inlineStr">
        <is>
          <t>pelanggan.uji@mail.com / Uji12345</t>
        </is>
      </c>
      <c r="C15" s="5" t="n"/>
      <c r="D15" s="5" t="n"/>
      <c r="E15" s="5" t="n"/>
      <c r="F15" s="6" t="n"/>
    </row>
    <row r="16">
      <c r="A16" s="3" t="inlineStr">
        <is>
          <t>Tanggal eksekusi</t>
        </is>
      </c>
      <c r="B16" s="7" t="inlineStr">
        <is>
          <t>2026-10-02</t>
        </is>
      </c>
      <c r="C16" s="5" t="n"/>
      <c r="D16" s="5" t="n"/>
      <c r="E16" s="5" t="n"/>
      <c r="F16" s="6" t="n"/>
    </row>
    <row r="17">
      <c r="A17" s="3" t="inlineStr">
        <is>
          <t>Catatan eksekusi</t>
        </is>
      </c>
      <c r="B17" s="7" t="inlineStr">
        <is>
          <t>Kasus pada sheet 04 dijalankan dengan skrip otomatis (Playwright pada Chrome) pada tanggal di atas, dan tangkapan layar di folder bukti berasal dari eksekusi itu. Jalankan ulang secara manual bila diminta, lalu perbarui kolom Penguji dan Tanggal.</t>
        </is>
      </c>
      <c r="C17" s="5" t="n"/>
      <c r="D17" s="5" t="n"/>
      <c r="E17" s="5" t="n"/>
      <c r="F17" s="6" t="n"/>
    </row>
    <row r="19">
      <c r="A19" s="8" t="inlineStr">
        <is>
          <t>Aturan input</t>
        </is>
      </c>
    </row>
    <row r="20">
      <c r="A20" s="9" t="inlineStr">
        <is>
          <t>Field</t>
        </is>
      </c>
      <c r="B20" s="9" t="inlineStr">
        <is>
          <t>Tipe</t>
        </is>
      </c>
      <c r="C20" s="9" t="inlineStr">
        <is>
          <t>Rentang diterima</t>
        </is>
      </c>
      <c r="D20" s="9" t="inlineStr">
        <is>
          <t>Aturan tambahan</t>
        </is>
      </c>
      <c r="E20" s="9" t="inlineStr">
        <is>
          <t>Sumber</t>
        </is>
      </c>
    </row>
    <row r="21">
      <c r="A21" s="7" t="inlineStr">
        <is>
          <t>Jumlah Tamu</t>
        </is>
      </c>
      <c r="B21" s="7" t="inlineStr">
        <is>
          <t>Bilangan bulat</t>
        </is>
      </c>
      <c r="C21" s="7" t="inlineStr">
        <is>
          <t>10 sampai 2000</t>
        </is>
      </c>
      <c r="D21" s="7" t="inlineStr">
        <is>
          <t>-</t>
        </is>
      </c>
      <c r="E21" s="7" t="inlineStr">
        <is>
          <t>BR-22</t>
        </is>
      </c>
    </row>
    <row r="22">
      <c r="A22" s="7" t="inlineStr">
        <is>
          <t>Cetak Tambahan</t>
        </is>
      </c>
      <c r="B22" s="7" t="inlineStr">
        <is>
          <t>Bilangan bulat</t>
        </is>
      </c>
      <c r="C22" s="7" t="inlineStr">
        <is>
          <t>0 sampai 500 lembar</t>
        </is>
      </c>
      <c r="D22" s="7" t="inlineStr">
        <is>
          <t>Hanya paket Standard dan Premium. Paket Basic harus 0. Biaya Rp 3.000 per lembar.</t>
        </is>
      </c>
      <c r="E22" s="7" t="inlineStr">
        <is>
          <t>BR-31, BR-32</t>
        </is>
      </c>
    </row>
    <row r="23">
      <c r="A23" s="7" t="inlineStr">
        <is>
          <t>Paket (konteks)</t>
        </is>
      </c>
      <c r="B23" s="7" t="inlineStr">
        <is>
          <t>Pilihan</t>
        </is>
      </c>
      <c r="C23" s="7" t="inlineStr">
        <is>
          <t>Basic Rp 150.000, Standard Rp 300.000, Premium Rp 500.000</t>
        </is>
      </c>
      <c r="D23" s="7" t="inlineStr">
        <is>
          <t>Wajib dipilih</t>
        </is>
      </c>
      <c r="E23" s="7" t="inlineStr">
        <is>
          <t>BR-30</t>
        </is>
      </c>
    </row>
    <row r="25">
      <c r="A25" s="8" t="inlineStr">
        <is>
          <t>Kelas keluaran</t>
        </is>
      </c>
    </row>
    <row r="26">
      <c r="A26" s="9" t="inlineStr">
        <is>
          <t>Kelas</t>
        </is>
      </c>
      <c r="B26" s="9" t="inlineStr">
        <is>
          <t>Keluaran yang terlihat</t>
        </is>
      </c>
      <c r="C26" s="9" t="inlineStr">
        <is>
          <t>Syarat</t>
        </is>
      </c>
    </row>
    <row r="27">
      <c r="A27" s="7" t="inlineStr">
        <is>
          <t>K1</t>
        </is>
      </c>
      <c r="B27" s="7" t="inlineStr">
        <is>
          <t>Pesanan tersimpan tanpa biaya cetak, total = harga paket</t>
        </is>
      </c>
      <c r="C27" s="7" t="inlineStr">
        <is>
          <t>Semua input valid dan cetak tambahan 0</t>
        </is>
      </c>
    </row>
    <row r="28">
      <c r="A28" s="7" t="inlineStr">
        <is>
          <t>K2</t>
        </is>
      </c>
      <c r="B28" s="7" t="inlineStr">
        <is>
          <t>Pesanan tersimpan dengan biaya cetak, total = harga paket + lembar x Rp 3.000</t>
        </is>
      </c>
      <c r="C28" s="7" t="inlineStr">
        <is>
          <t>Semua input valid, cetak tambahan 1 sampai 500, paket Standard atau Premium</t>
        </is>
      </c>
    </row>
    <row r="29">
      <c r="A29" s="7" t="inlineStr">
        <is>
          <t>K3</t>
        </is>
      </c>
      <c r="B29" s="7" t="inlineStr">
        <is>
          <t>Ditolak: paket tidak menyediakan cetak tambahan</t>
        </is>
      </c>
      <c r="C29" s="7" t="inlineStr">
        <is>
          <t>Rentang valid, tetapi paket Basic dengan cetak tambahan lebih dari 0</t>
        </is>
      </c>
    </row>
    <row r="30">
      <c r="A30" s="7" t="inlineStr">
        <is>
          <t>K4</t>
        </is>
      </c>
      <c r="B30" s="7" t="inlineStr">
        <is>
          <t>Ditolak: nilai di bawah minimum</t>
        </is>
      </c>
      <c r="C30" s="7" t="inlineStr">
        <is>
          <t>Jumlah tamu kurang dari 10 atau cetak tambahan kurang dari 0</t>
        </is>
      </c>
    </row>
    <row r="31">
      <c r="A31" s="7" t="inlineStr">
        <is>
          <t>K5</t>
        </is>
      </c>
      <c r="B31" s="7" t="inlineStr">
        <is>
          <t>Ditolak: nilai di atas maksimum</t>
        </is>
      </c>
      <c r="C31" s="7" t="inlineStr">
        <is>
          <t>Jumlah tamu lebih dari 2000 atau cetak tambahan lebih dari 500</t>
        </is>
      </c>
    </row>
    <row r="32">
      <c r="A32" s="7" t="inlineStr">
        <is>
          <t>K6</t>
        </is>
      </c>
      <c r="B32" s="7" t="inlineStr">
        <is>
          <t>Ditolak: bukan bilangan bulat</t>
        </is>
      </c>
      <c r="C32" s="7" t="inlineStr">
        <is>
          <t>Jumlah tamu atau cetak tambahan berupa pecahan</t>
        </is>
      </c>
    </row>
    <row r="34">
      <c r="A34" s="8" t="inlineStr">
        <is>
          <t>Data tetap untuk field lain</t>
        </is>
      </c>
    </row>
    <row r="35">
      <c r="A35" s="9" t="inlineStr">
        <is>
          <t>Field</t>
        </is>
      </c>
      <c r="B35" s="9" t="inlineStr">
        <is>
          <t>Nilai</t>
        </is>
      </c>
    </row>
    <row r="36">
      <c r="A36" s="7" t="inlineStr">
        <is>
          <t>Nama Pengantin Wanita / Pria</t>
        </is>
      </c>
      <c r="B36" s="7" t="inlineStr">
        <is>
          <t>Sarah / James</t>
        </is>
      </c>
    </row>
    <row r="37">
      <c r="A37" s="7" t="inlineStr">
        <is>
          <t>Tanggal Pernikahan</t>
        </is>
      </c>
      <c r="B37" s="7" t="inlineStr">
        <is>
          <t>H+30 dari tanggal eksekusi (2026-11-01)</t>
        </is>
      </c>
    </row>
    <row r="38">
      <c r="A38" s="7" t="inlineStr">
        <is>
          <t>Lokasi</t>
        </is>
      </c>
      <c r="B38" s="7" t="inlineStr">
        <is>
          <t>Grand Ballroom, Hotel Mulia</t>
        </is>
      </c>
    </row>
    <row r="39">
      <c r="A39" s="7" t="inlineStr">
        <is>
          <t>Tema Undangan</t>
        </is>
      </c>
      <c r="B39" s="7" t="inlineStr">
        <is>
          <t>Elegant Gold</t>
        </is>
      </c>
    </row>
    <row r="40">
      <c r="A40" s="7" t="inlineStr">
        <is>
          <t>Kode Promo dan Catatan Desain</t>
        </is>
      </c>
      <c r="B40" s="7" t="inlineStr">
        <is>
          <t>Dikosongkan</t>
        </is>
      </c>
    </row>
  </sheetData>
  <mergeCells count="15">
    <mergeCell ref="B4:F4"/>
    <mergeCell ref="B12:F12"/>
    <mergeCell ref="B7:F7"/>
    <mergeCell ref="B6:F6"/>
    <mergeCell ref="B16:F16"/>
    <mergeCell ref="B15:F15"/>
    <mergeCell ref="B10:F10"/>
    <mergeCell ref="A2:H2"/>
    <mergeCell ref="B11:F11"/>
    <mergeCell ref="B5:F5"/>
    <mergeCell ref="B14:F14"/>
    <mergeCell ref="B8:F8"/>
    <mergeCell ref="B17:F17"/>
    <mergeCell ref="B9:F9"/>
    <mergeCell ref="B13:F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40" customWidth="1" min="1" max="1"/>
    <col width="22" customWidth="1" min="2" max="2"/>
    <col width="18" customWidth="1" min="3" max="3"/>
    <col width="24" customWidth="1" min="4" max="4"/>
    <col width="18" customWidth="1" min="5" max="5"/>
    <col width="26" customWidth="1" min="6" max="6"/>
    <col width="58" customWidth="1" min="7" max="7"/>
  </cols>
  <sheetData>
    <row r="1">
      <c r="A1" s="1" t="inlineStr">
        <is>
          <t>02_BVA: Boundary Value Analysis</t>
        </is>
      </c>
    </row>
    <row r="2" ht="30" customHeight="1">
      <c r="A2" s="2" t="inlineStr">
        <is>
          <t>Tiap test case menggeser satu variabel ke satu nilai batas, sedangkan variabel lain tetap nominal (single-fault assumption).</t>
        </is>
      </c>
    </row>
    <row r="4">
      <c r="A4" s="3" t="inlineStr">
        <is>
          <t>Input atau fitur yang diuji</t>
        </is>
      </c>
      <c r="B4" s="7" t="inlineStr">
        <is>
          <t>Form Buat Pesanan: Jumlah Tamu dan Cetak Tambahan, dengan paket Standard</t>
        </is>
      </c>
      <c r="C4" s="5" t="n"/>
      <c r="D4" s="5" t="n"/>
      <c r="E4" s="5" t="n"/>
      <c r="F4" s="5" t="n"/>
      <c r="G4" s="6" t="n"/>
    </row>
    <row r="5">
      <c r="A5" s="3" t="inlineStr">
        <is>
          <t>n, jumlah variabel input yang saling bebas</t>
        </is>
      </c>
      <c r="B5" s="7" t="n">
        <v>2</v>
      </c>
    </row>
    <row r="6">
      <c r="A6" s="3" t="inlineStr">
        <is>
          <t>Kandidat mentah = 5n</t>
        </is>
      </c>
      <c r="B6" s="7">
        <f>5*B5</f>
        <v>10</v>
      </c>
    </row>
    <row r="7">
      <c r="A7" s="3" t="inlineStr">
        <is>
          <t>Duplikat nominal yang dibuang = n - 1</t>
        </is>
      </c>
      <c r="B7" s="7">
        <f>B5-1</f>
        <v>1</v>
      </c>
    </row>
    <row r="8">
      <c r="A8" s="3" t="inlineStr">
        <is>
          <t>Jumlah minimal test case = 4n + 1</t>
        </is>
      </c>
      <c r="B8" s="7">
        <f>4*B5+1</f>
        <v>9</v>
      </c>
    </row>
    <row r="9">
      <c r="A9" s="3" t="inlineStr">
        <is>
          <t>Pemeriksaan: 5n - (n - 1)</t>
        </is>
      </c>
      <c r="B9" s="7">
        <f>B6-B7</f>
        <v>9</v>
      </c>
      <c r="C9" s="7" t="inlineStr">
        <is>
          <t>Harus sama dengan 4n + 1 pada B8</t>
        </is>
      </c>
    </row>
    <row r="10">
      <c r="A10" s="3" t="inlineStr">
        <is>
          <t>Harga paket Standard (Rp), BR-30</t>
        </is>
      </c>
      <c r="B10" s="7" t="n">
        <v>300000</v>
      </c>
    </row>
    <row r="11">
      <c r="A11" s="3" t="inlineStr">
        <is>
          <t>Harga cetak per lembar (Rp), BR-31</t>
        </is>
      </c>
      <c r="B11" s="7" t="n">
        <v>3000</v>
      </c>
    </row>
    <row r="13">
      <c r="A13" s="8" t="inlineStr">
        <is>
          <t>Lima nilai batas tiap variabel</t>
        </is>
      </c>
    </row>
    <row r="14">
      <c r="A14" s="9" t="inlineStr">
        <is>
          <t>Variabel</t>
        </is>
      </c>
      <c r="B14" s="9" t="inlineStr">
        <is>
          <t>Min</t>
        </is>
      </c>
      <c r="C14" s="9" t="inlineStr">
        <is>
          <t>Min+</t>
        </is>
      </c>
      <c r="D14" s="9" t="inlineStr">
        <is>
          <t>Nominal</t>
        </is>
      </c>
      <c r="E14" s="9" t="inlineStr">
        <is>
          <t>Max-</t>
        </is>
      </c>
      <c r="F14" s="9" t="inlineStr">
        <is>
          <t>Max</t>
        </is>
      </c>
      <c r="G14" s="9" t="inlineStr">
        <is>
          <t>Keterangan</t>
        </is>
      </c>
    </row>
    <row r="15">
      <c r="A15" s="3" t="inlineStr">
        <is>
          <t>Jumlah Tamu</t>
        </is>
      </c>
      <c r="B15" s="7" t="n">
        <v>10</v>
      </c>
      <c r="C15" s="7" t="n">
        <v>11</v>
      </c>
      <c r="D15" s="7" t="n">
        <v>1000</v>
      </c>
      <c r="E15" s="7" t="n">
        <v>1999</v>
      </c>
      <c r="F15" s="7" t="n">
        <v>2000</v>
      </c>
      <c r="G15" s="7" t="inlineStr">
        <is>
          <t>Rentang 10 sampai 2000 (BR-22). Nominal 1000 berada di tengah rentang.</t>
        </is>
      </c>
    </row>
    <row r="16">
      <c r="A16" s="3" t="inlineStr">
        <is>
          <t>Cetak Tambahan</t>
        </is>
      </c>
      <c r="B16" s="7" t="n">
        <v>0</v>
      </c>
      <c r="C16" s="7" t="n">
        <v>1</v>
      </c>
      <c r="D16" s="7" t="n">
        <v>250</v>
      </c>
      <c r="E16" s="7" t="n">
        <v>499</v>
      </c>
      <c r="F16" s="7" t="n">
        <v>500</v>
      </c>
      <c r="G16" s="7" t="inlineStr">
        <is>
          <t>Rentang 0 sampai 500 (BR-31). Nominal 250 berada di tengah rentang.</t>
        </is>
      </c>
    </row>
    <row r="18">
      <c r="A18" s="8" t="inlineStr">
        <is>
          <t>Urutan mentah 5n = 10 baris dan keputusan deduplikasi</t>
        </is>
      </c>
    </row>
    <row r="19">
      <c r="A19" s="9" t="inlineStr">
        <is>
          <t>Raw ID</t>
        </is>
      </c>
      <c r="B19" s="9" t="inlineStr">
        <is>
          <t>Variabel yang digeser</t>
        </is>
      </c>
      <c r="C19" s="9" t="inlineStr">
        <is>
          <t>Nilai batas</t>
        </is>
      </c>
      <c r="D19" s="9" t="inlineStr">
        <is>
          <t>Jumlah Tamu</t>
        </is>
      </c>
      <c r="E19" s="9" t="inlineStr">
        <is>
          <t>Cetak Tambahan</t>
        </is>
      </c>
      <c r="F19" s="9" t="inlineStr">
        <is>
          <t>Total yang diharapkan (Rp)</t>
        </is>
      </c>
      <c r="G19" s="9" t="inlineStr">
        <is>
          <t>Keputusan</t>
        </is>
      </c>
    </row>
    <row r="20">
      <c r="A20" s="7" t="n">
        <v>1</v>
      </c>
      <c r="B20" s="7" t="inlineStr">
        <is>
          <t>Jumlah Tamu</t>
        </is>
      </c>
      <c r="C20" s="7" t="inlineStr">
        <is>
          <t>Min</t>
        </is>
      </c>
      <c r="D20" s="7" t="n">
        <v>10</v>
      </c>
      <c r="E20" s="7" t="n">
        <v>250</v>
      </c>
      <c r="F20" s="7">
        <f>$B$10+E20*$B$11</f>
        <v>1050000</v>
      </c>
      <c r="G20" s="7" t="inlineStr">
        <is>
          <t>Keep</t>
        </is>
      </c>
    </row>
    <row r="21">
      <c r="A21" s="7" t="n">
        <v>2</v>
      </c>
      <c r="B21" s="7" t="inlineStr">
        <is>
          <t>Jumlah Tamu</t>
        </is>
      </c>
      <c r="C21" s="7" t="inlineStr">
        <is>
          <t>Min+</t>
        </is>
      </c>
      <c r="D21" s="7" t="n">
        <v>11</v>
      </c>
      <c r="E21" s="7" t="n">
        <v>250</v>
      </c>
      <c r="F21" s="7">
        <f>$B$10+E21*$B$11</f>
        <v>1050000</v>
      </c>
      <c r="G21" s="7" t="inlineStr">
        <is>
          <t>Keep</t>
        </is>
      </c>
    </row>
    <row r="22">
      <c r="A22" s="7" t="n">
        <v>3</v>
      </c>
      <c r="B22" s="7" t="inlineStr">
        <is>
          <t>Jumlah Tamu</t>
        </is>
      </c>
      <c r="C22" s="7" t="inlineStr">
        <is>
          <t>Nominal</t>
        </is>
      </c>
      <c r="D22" s="7" t="n">
        <v>1000</v>
      </c>
      <c r="E22" s="7" t="n">
        <v>250</v>
      </c>
      <c r="F22" s="7">
        <f>$B$10+E22*$B$11</f>
        <v>1050000</v>
      </c>
      <c r="G22" s="7" t="inlineStr">
        <is>
          <t>Keep: wakil nominal</t>
        </is>
      </c>
    </row>
    <row r="23">
      <c r="A23" s="7" t="n">
        <v>4</v>
      </c>
      <c r="B23" s="7" t="inlineStr">
        <is>
          <t>Jumlah Tamu</t>
        </is>
      </c>
      <c r="C23" s="7" t="inlineStr">
        <is>
          <t>Max-</t>
        </is>
      </c>
      <c r="D23" s="7" t="n">
        <v>1999</v>
      </c>
      <c r="E23" s="7" t="n">
        <v>250</v>
      </c>
      <c r="F23" s="7">
        <f>$B$10+E23*$B$11</f>
        <v>1050000</v>
      </c>
      <c r="G23" s="7" t="inlineStr">
        <is>
          <t>Keep</t>
        </is>
      </c>
    </row>
    <row r="24">
      <c r="A24" s="7" t="n">
        <v>5</v>
      </c>
      <c r="B24" s="7" t="inlineStr">
        <is>
          <t>Jumlah Tamu</t>
        </is>
      </c>
      <c r="C24" s="7" t="inlineStr">
        <is>
          <t>Max</t>
        </is>
      </c>
      <c r="D24" s="7" t="n">
        <v>2000</v>
      </c>
      <c r="E24" s="7" t="n">
        <v>250</v>
      </c>
      <c r="F24" s="7">
        <f>$B$10+E24*$B$11</f>
        <v>1050000</v>
      </c>
      <c r="G24" s="7" t="inlineStr">
        <is>
          <t>Keep</t>
        </is>
      </c>
    </row>
    <row r="25">
      <c r="A25" s="7" t="n">
        <v>6</v>
      </c>
      <c r="B25" s="7" t="inlineStr">
        <is>
          <t>Cetak Tambahan</t>
        </is>
      </c>
      <c r="C25" s="7" t="inlineStr">
        <is>
          <t>Min</t>
        </is>
      </c>
      <c r="D25" s="7" t="n">
        <v>1000</v>
      </c>
      <c r="E25" s="7" t="n">
        <v>0</v>
      </c>
      <c r="F25" s="7">
        <f>$B$10+E25*$B$11</f>
        <v>300000</v>
      </c>
      <c r="G25" s="7" t="inlineStr">
        <is>
          <t>Keep</t>
        </is>
      </c>
    </row>
    <row r="26">
      <c r="A26" s="7" t="n">
        <v>7</v>
      </c>
      <c r="B26" s="7" t="inlineStr">
        <is>
          <t>Cetak Tambahan</t>
        </is>
      </c>
      <c r="C26" s="7" t="inlineStr">
        <is>
          <t>Min+</t>
        </is>
      </c>
      <c r="D26" s="7" t="n">
        <v>1000</v>
      </c>
      <c r="E26" s="7" t="n">
        <v>1</v>
      </c>
      <c r="F26" s="7">
        <f>$B$10+E26*$B$11</f>
        <v>303000</v>
      </c>
      <c r="G26" s="7" t="inlineStr">
        <is>
          <t>Keep</t>
        </is>
      </c>
    </row>
    <row r="27">
      <c r="A27" s="7" t="n">
        <v>8</v>
      </c>
      <c r="B27" s="7" t="inlineStr">
        <is>
          <t>Cetak Tambahan</t>
        </is>
      </c>
      <c r="C27" s="7" t="inlineStr">
        <is>
          <t>Nominal</t>
        </is>
      </c>
      <c r="D27" s="7" t="n">
        <v>1000</v>
      </c>
      <c r="E27" s="7" t="n">
        <v>250</v>
      </c>
      <c r="F27" s="7">
        <f>$B$10+E27*$B$11</f>
        <v>1050000</v>
      </c>
      <c r="G27" s="10" t="inlineStr">
        <is>
          <t>Remove: duplikat Raw ID 3</t>
        </is>
      </c>
    </row>
    <row r="28">
      <c r="A28" s="7" t="n">
        <v>9</v>
      </c>
      <c r="B28" s="7" t="inlineStr">
        <is>
          <t>Cetak Tambahan</t>
        </is>
      </c>
      <c r="C28" s="7" t="inlineStr">
        <is>
          <t>Max-</t>
        </is>
      </c>
      <c r="D28" s="7" t="n">
        <v>1000</v>
      </c>
      <c r="E28" s="7" t="n">
        <v>499</v>
      </c>
      <c r="F28" s="7">
        <f>$B$10+E28*$B$11</f>
        <v>1797000</v>
      </c>
      <c r="G28" s="7" t="inlineStr">
        <is>
          <t>Keep</t>
        </is>
      </c>
    </row>
    <row r="29">
      <c r="A29" s="7" t="n">
        <v>10</v>
      </c>
      <c r="B29" s="7" t="inlineStr">
        <is>
          <t>Cetak Tambahan</t>
        </is>
      </c>
      <c r="C29" s="7" t="inlineStr">
        <is>
          <t>Max</t>
        </is>
      </c>
      <c r="D29" s="7" t="n">
        <v>1000</v>
      </c>
      <c r="E29" s="7" t="n">
        <v>500</v>
      </c>
      <c r="F29" s="7">
        <f>$B$10+E29*$B$11</f>
        <v>1800000</v>
      </c>
      <c r="G29" s="7" t="inlineStr">
        <is>
          <t>Keep</t>
        </is>
      </c>
    </row>
    <row r="30" ht="30" customHeight="1">
      <c r="A30" s="2" t="inlineStr">
        <is>
          <t>Tupel nominal (1000, 250) muncul n = 2 kali, yaitu Raw ID 3 dan Raw ID 8. Satu salinan dipertahankan dan n - 1 = 1 salinan dibuang, sehingga 10 - 1 = 9 kasus unik = 4n + 1.</t>
        </is>
      </c>
    </row>
    <row r="32">
      <c r="A32" s="8" t="inlineStr">
        <is>
          <t>Sembilan test case BVA akhir</t>
        </is>
      </c>
    </row>
    <row r="33">
      <c r="A33" s="9" t="inlineStr">
        <is>
          <t>Test Case</t>
        </is>
      </c>
      <c r="B33" s="9" t="inlineStr">
        <is>
          <t>Jumlah Tamu</t>
        </is>
      </c>
      <c r="C33" s="9" t="inlineStr">
        <is>
          <t>Cetak Tambahan</t>
        </is>
      </c>
      <c r="D33" s="9" t="inlineStr">
        <is>
          <t>Nilai batas yang diwakili</t>
        </is>
      </c>
      <c r="E33" s="9" t="inlineStr">
        <is>
          <t>Biaya cetak (Rp)</t>
        </is>
      </c>
      <c r="F33" s="9" t="inlineStr">
        <is>
          <t>Total yang diharapkan (Rp)</t>
        </is>
      </c>
      <c r="G33" s="9" t="inlineStr">
        <is>
          <t>Keluaran yang diharapkan</t>
        </is>
      </c>
    </row>
    <row r="34">
      <c r="A34" s="3" t="inlineStr">
        <is>
          <t>TC-BVA-01</t>
        </is>
      </c>
      <c r="B34" s="7" t="n">
        <v>10</v>
      </c>
      <c r="C34" s="7" t="n">
        <v>250</v>
      </c>
      <c r="D34" s="7" t="inlineStr">
        <is>
          <t>Jumlah Tamu = Min</t>
        </is>
      </c>
      <c r="E34" s="7">
        <f>C34*$B$11</f>
        <v>750000</v>
      </c>
      <c r="F34" s="7">
        <f>$B$10+E34</f>
        <v>1050000</v>
      </c>
      <c r="G34" s="7" t="inlineStr">
        <is>
          <t>Pesanan tersimpan dengan status Menunggu Pembayaran dan biaya cetak ditambahkan</t>
        </is>
      </c>
    </row>
    <row r="35">
      <c r="A35" s="3" t="inlineStr">
        <is>
          <t>TC-BVA-02</t>
        </is>
      </c>
      <c r="B35" s="7" t="n">
        <v>11</v>
      </c>
      <c r="C35" s="7" t="n">
        <v>250</v>
      </c>
      <c r="D35" s="7" t="inlineStr">
        <is>
          <t>Jumlah Tamu = Min+</t>
        </is>
      </c>
      <c r="E35" s="7">
        <f>C35*$B$11</f>
        <v>750000</v>
      </c>
      <c r="F35" s="7">
        <f>$B$10+E35</f>
        <v>1050000</v>
      </c>
      <c r="G35" s="7" t="inlineStr">
        <is>
          <t>Pesanan tersimpan dengan status Menunggu Pembayaran dan biaya cetak ditambahkan</t>
        </is>
      </c>
    </row>
    <row r="36">
      <c r="A36" s="3" t="inlineStr">
        <is>
          <t>TC-BVA-03</t>
        </is>
      </c>
      <c r="B36" s="7" t="n">
        <v>1999</v>
      </c>
      <c r="C36" s="7" t="n">
        <v>250</v>
      </c>
      <c r="D36" s="7" t="inlineStr">
        <is>
          <t>Jumlah Tamu = Max-</t>
        </is>
      </c>
      <c r="E36" s="7">
        <f>C36*$B$11</f>
        <v>750000</v>
      </c>
      <c r="F36" s="7">
        <f>$B$10+E36</f>
        <v>1050000</v>
      </c>
      <c r="G36" s="7" t="inlineStr">
        <is>
          <t>Pesanan tersimpan dengan status Menunggu Pembayaran dan biaya cetak ditambahkan</t>
        </is>
      </c>
    </row>
    <row r="37">
      <c r="A37" s="3" t="inlineStr">
        <is>
          <t>TC-BVA-04</t>
        </is>
      </c>
      <c r="B37" s="7" t="n">
        <v>2000</v>
      </c>
      <c r="C37" s="7" t="n">
        <v>250</v>
      </c>
      <c r="D37" s="7" t="inlineStr">
        <is>
          <t>Jumlah Tamu = Max</t>
        </is>
      </c>
      <c r="E37" s="7">
        <f>C37*$B$11</f>
        <v>750000</v>
      </c>
      <c r="F37" s="7">
        <f>$B$10+E37</f>
        <v>1050000</v>
      </c>
      <c r="G37" s="7" t="inlineStr">
        <is>
          <t>Pesanan tersimpan dengan status Menunggu Pembayaran dan biaya cetak ditambahkan</t>
        </is>
      </c>
    </row>
    <row r="38">
      <c r="A38" s="3" t="inlineStr">
        <is>
          <t>TC-BVA-05</t>
        </is>
      </c>
      <c r="B38" s="7" t="n">
        <v>1000</v>
      </c>
      <c r="C38" s="7" t="n">
        <v>0</v>
      </c>
      <c r="D38" s="7" t="inlineStr">
        <is>
          <t>Cetak Tambahan = Min</t>
        </is>
      </c>
      <c r="E38" s="7">
        <f>C38*$B$11</f>
        <v>0</v>
      </c>
      <c r="F38" s="7">
        <f>$B$10+E38</f>
        <v>300000</v>
      </c>
      <c r="G38" s="7" t="inlineStr">
        <is>
          <t>Pesanan tersimpan dengan status Menunggu Pembayaran tanpa biaya cetak</t>
        </is>
      </c>
    </row>
    <row r="39">
      <c r="A39" s="3" t="inlineStr">
        <is>
          <t>TC-BVA-06</t>
        </is>
      </c>
      <c r="B39" s="7" t="n">
        <v>1000</v>
      </c>
      <c r="C39" s="7" t="n">
        <v>1</v>
      </c>
      <c r="D39" s="7" t="inlineStr">
        <is>
          <t>Cetak Tambahan = Min+</t>
        </is>
      </c>
      <c r="E39" s="7">
        <f>C39*$B$11</f>
        <v>3000</v>
      </c>
      <c r="F39" s="7">
        <f>$B$10+E39</f>
        <v>303000</v>
      </c>
      <c r="G39" s="7" t="inlineStr">
        <is>
          <t>Pesanan tersimpan dengan status Menunggu Pembayaran dan biaya cetak ditambahkan</t>
        </is>
      </c>
    </row>
    <row r="40">
      <c r="A40" s="3" t="inlineStr">
        <is>
          <t>TC-BVA-07</t>
        </is>
      </c>
      <c r="B40" s="7" t="n">
        <v>1000</v>
      </c>
      <c r="C40" s="7" t="n">
        <v>499</v>
      </c>
      <c r="D40" s="7" t="inlineStr">
        <is>
          <t>Cetak Tambahan = Max-</t>
        </is>
      </c>
      <c r="E40" s="7">
        <f>C40*$B$11</f>
        <v>1497000</v>
      </c>
      <c r="F40" s="7">
        <f>$B$10+E40</f>
        <v>1797000</v>
      </c>
      <c r="G40" s="7" t="inlineStr">
        <is>
          <t>Pesanan tersimpan dengan status Menunggu Pembayaran dan biaya cetak ditambahkan</t>
        </is>
      </c>
    </row>
    <row r="41">
      <c r="A41" s="3" t="inlineStr">
        <is>
          <t>TC-BVA-08</t>
        </is>
      </c>
      <c r="B41" s="7" t="n">
        <v>1000</v>
      </c>
      <c r="C41" s="7" t="n">
        <v>500</v>
      </c>
      <c r="D41" s="7" t="inlineStr">
        <is>
          <t>Cetak Tambahan = Max</t>
        </is>
      </c>
      <c r="E41" s="7">
        <f>C41*$B$11</f>
        <v>1500000</v>
      </c>
      <c r="F41" s="7">
        <f>$B$10+E41</f>
        <v>1800000</v>
      </c>
      <c r="G41" s="7" t="inlineStr">
        <is>
          <t>Pesanan tersimpan dengan status Menunggu Pembayaran dan biaya cetak ditambahkan</t>
        </is>
      </c>
    </row>
    <row r="42">
      <c r="A42" s="3" t="inlineStr">
        <is>
          <t>TC-BVA-09</t>
        </is>
      </c>
      <c r="B42" s="7" t="n">
        <v>1000</v>
      </c>
      <c r="C42" s="7" t="n">
        <v>250</v>
      </c>
      <c r="D42" s="7" t="inlineStr">
        <is>
          <t>Semua nominal</t>
        </is>
      </c>
      <c r="E42" s="7">
        <f>C42*$B$11</f>
        <v>750000</v>
      </c>
      <c r="F42" s="7">
        <f>$B$10+E42</f>
        <v>1050000</v>
      </c>
      <c r="G42" s="7" t="inlineStr">
        <is>
          <t>Pesanan tersimpan dengan status Menunggu Pembayaran dan biaya cetak ditambahkan</t>
        </is>
      </c>
    </row>
    <row r="44">
      <c r="A44" s="3" t="inlineStr">
        <is>
          <t>Jumlah test case akhir</t>
        </is>
      </c>
      <c r="B44" s="7">
        <f>COUNTA(A34:A42)</f>
        <v>9</v>
      </c>
      <c r="C44" s="7" t="inlineStr">
        <is>
          <t>Harus sama dengan 4n + 1 pada B8</t>
        </is>
      </c>
    </row>
  </sheetData>
  <mergeCells count="3">
    <mergeCell ref="B4:G4"/>
    <mergeCell ref="A30:G30"/>
    <mergeCell ref="A2:H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6" customWidth="1" min="1" max="1"/>
    <col width="48" customWidth="1" min="2" max="2"/>
    <col width="30" customWidth="1" min="3" max="3"/>
    <col width="40" customWidth="1" min="4" max="4"/>
    <col width="60" customWidth="1" min="5" max="5"/>
    <col width="16" customWidth="1" min="6" max="6"/>
  </cols>
  <sheetData>
    <row r="1">
      <c r="A1" s="1" t="inlineStr">
        <is>
          <t>03_EP: Equivalence Partitioning dengan Weak Robust</t>
        </is>
      </c>
    </row>
    <row r="2" ht="30" customHeight="1">
      <c r="A2" s="2" t="inlineStr">
        <is>
          <t>Tiap kasus tidak valid hanya memasukkan satu partisi tidak valid, sedangkan input lain tetap valid.</t>
        </is>
      </c>
    </row>
    <row r="4">
      <c r="A4" s="3" t="inlineStr">
        <is>
          <t>Input yang dianalisis</t>
        </is>
      </c>
      <c r="B4" s="7" t="inlineStr">
        <is>
          <t>Jumlah Tamu dan Cetak Tambahan pada form Buat Pesanan, dengan Paket sebagai konteks aturan</t>
        </is>
      </c>
      <c r="C4" s="5" t="n"/>
      <c r="D4" s="5" t="n"/>
      <c r="E4" s="5" t="n"/>
      <c r="F4" s="6" t="n"/>
    </row>
    <row r="5">
      <c r="A5" s="3" t="inlineStr">
        <is>
          <t>Jumlah partisi</t>
        </is>
      </c>
      <c r="B5" s="7">
        <f>COUNTA(A9:A13)</f>
        <v>5</v>
      </c>
    </row>
    <row r="7">
      <c r="A7" s="8" t="inlineStr">
        <is>
          <t>Partisi</t>
        </is>
      </c>
    </row>
    <row r="8">
      <c r="A8" s="9" t="inlineStr">
        <is>
          <t>Partisi</t>
        </is>
      </c>
      <c r="B8" s="9" t="inlineStr">
        <is>
          <t>Aturan atau rentang</t>
        </is>
      </c>
      <c r="C8" s="9" t="inlineStr">
        <is>
          <t>Jenis</t>
        </is>
      </c>
      <c r="D8" s="9" t="inlineStr">
        <is>
          <t>Wakil (tamu, cetak, paket)</t>
        </is>
      </c>
      <c r="E8" s="9" t="inlineStr">
        <is>
          <t>Alasan wakil termasuk partisi ini</t>
        </is>
      </c>
      <c r="F8" s="9" t="inlineStr">
        <is>
          <t>Jumlah kasus</t>
        </is>
      </c>
    </row>
    <row r="9">
      <c r="A9" s="3" t="inlineStr">
        <is>
          <t>P1: Input valid, pesanan diterima</t>
        </is>
      </c>
      <c r="B9" s="7" t="inlineStr">
        <is>
          <t>10 &lt;= tamu &lt;= 2000, 0 &lt;= cetak &lt;= 500, keduanya bilangan bulat, dan paket mengizinkan nilai cetak tersebut</t>
        </is>
      </c>
      <c r="C9" s="7" t="inlineStr">
        <is>
          <t>Valid</t>
        </is>
      </c>
      <c r="D9" s="7" t="inlineStr">
        <is>
          <t>(300, 0, Standard) dan (300, 100, Standard)</t>
        </is>
      </c>
      <c r="E9" s="7" t="inlineStr">
        <is>
          <t>Kedua nilai berada dalam rentang. Partisi ini punya dua kelas keluaran, yaitu tanpa biaya cetak (K1) dan dengan biaya cetak (K2), sehingga diberi satu wakil per kelas.</t>
        </is>
      </c>
      <c r="F9" s="7" t="n">
        <v>2</v>
      </c>
    </row>
    <row r="10">
      <c r="A10" s="3" t="inlineStr">
        <is>
          <t>P2: Rentang valid, ditolak aturan paket</t>
        </is>
      </c>
      <c r="B10" s="7" t="inlineStr">
        <is>
          <t>1 &lt;= cetak &lt;= 500 dan paket Basic</t>
        </is>
      </c>
      <c r="C10" s="7" t="inlineStr">
        <is>
          <t>Valid, tetapi gagal aturan bisnis</t>
        </is>
      </c>
      <c r="D10" s="7" t="inlineStr">
        <is>
          <t>(300, 100, Basic)</t>
        </is>
      </c>
      <c r="E10" s="7" t="inlineStr">
        <is>
          <t>Nilai 100 berada dalam rentang 0 sampai 500, jadi bukan input tidak valid. Pesanan ditolak karena paket Basic tidak menyediakan cetak tambahan (BR-32).</t>
        </is>
      </c>
      <c r="F10" s="7" t="n">
        <v>1</v>
      </c>
    </row>
    <row r="11">
      <c r="A11" s="3" t="inlineStr">
        <is>
          <t>P3: Tidak valid, di bawah minimum</t>
        </is>
      </c>
      <c r="B11" s="7" t="inlineStr">
        <is>
          <t>tamu &lt; 10 atau cetak &lt; 0</t>
        </is>
      </c>
      <c r="C11" s="7" t="inlineStr">
        <is>
          <t>Tidak valid</t>
        </is>
      </c>
      <c r="D11" s="7" t="inlineStr">
        <is>
          <t>(5, 100, Standard) dan (300, -5, Standard)</t>
        </is>
      </c>
      <c r="E11" s="7" t="inlineStr">
        <is>
          <t>5 lebih kecil dari batas bawah 10, dan -5 lebih kecil dari batas bawah 0. Satu kasus per field karena Weak Robust mengubah satu input tiap kali.</t>
        </is>
      </c>
      <c r="F11" s="7" t="n">
        <v>2</v>
      </c>
    </row>
    <row r="12">
      <c r="A12" s="3" t="inlineStr">
        <is>
          <t>P4: Tidak valid, di atas maksimum</t>
        </is>
      </c>
      <c r="B12" s="7" t="inlineStr">
        <is>
          <t>tamu &gt; 2000 atau cetak &gt; 500</t>
        </is>
      </c>
      <c r="C12" s="7" t="inlineStr">
        <is>
          <t>Tidak valid</t>
        </is>
      </c>
      <c r="D12" s="7" t="inlineStr">
        <is>
          <t>(2500, 100, Standard) dan (300, 600, Standard)</t>
        </is>
      </c>
      <c r="E12" s="7" t="inlineStr">
        <is>
          <t>2500 lebih besar dari batas atas 2000, dan 600 lebih besar dari batas atas 500. Satu kasus per field.</t>
        </is>
      </c>
      <c r="F12" s="7" t="n">
        <v>2</v>
      </c>
    </row>
    <row r="13">
      <c r="A13" s="3" t="inlineStr">
        <is>
          <t>P5: Tidak valid, bukan bilangan bulat</t>
        </is>
      </c>
      <c r="B13" s="7" t="inlineStr">
        <is>
          <t>tamu atau cetak berupa pecahan</t>
        </is>
      </c>
      <c r="C13" s="7" t="inlineStr">
        <is>
          <t>Tidak valid (aturan tipe)</t>
        </is>
      </c>
      <c r="D13" s="7" t="inlineStr">
        <is>
          <t>(100.5, 100, Standard) dan (300, 2.5, Standard)</t>
        </is>
      </c>
      <c r="E13" s="7" t="inlineStr">
        <is>
          <t>100.5 dan 2.5 berada dalam rentang tetapi melanggar aturan tipe bilangan bulat. Satu kasus per field.</t>
        </is>
      </c>
      <c r="F13" s="7" t="n">
        <v>2</v>
      </c>
    </row>
    <row r="14">
      <c r="E14" s="3" t="inlineStr">
        <is>
          <t>Total test case Weak Robust</t>
        </is>
      </c>
      <c r="F14" s="7">
        <f>SUM(F9:F13)</f>
        <v>9</v>
      </c>
    </row>
    <row r="16">
      <c r="A16" s="8" t="inlineStr">
        <is>
          <t>Test case Weak Robust</t>
        </is>
      </c>
    </row>
    <row r="17">
      <c r="A17" s="9" t="inlineStr">
        <is>
          <t>Test Case</t>
        </is>
      </c>
      <c r="B17" s="9" t="inlineStr">
        <is>
          <t>Jenis kelas dan alasannya</t>
        </is>
      </c>
      <c r="C17" s="9" t="inlineStr">
        <is>
          <t>Partisi</t>
        </is>
      </c>
      <c r="D17" s="9" t="inlineStr">
        <is>
          <t>Wakil (tamu, cetak, paket)</t>
        </is>
      </c>
      <c r="E17" s="9" t="inlineStr">
        <is>
          <t>Keluaran yang diharapkan</t>
        </is>
      </c>
      <c r="F17" s="9" t="inlineStr">
        <is>
          <t>Kelas keluaran</t>
        </is>
      </c>
    </row>
    <row r="18">
      <c r="A18" s="3" t="inlineStr">
        <is>
          <t>TC-EP-01</t>
        </is>
      </c>
      <c r="B18" s="7" t="inlineStr">
        <is>
          <t>Input valid, pesanan diterima tanpa biaya cetak</t>
        </is>
      </c>
      <c r="C18" s="7" t="inlineStr">
        <is>
          <t>P1</t>
        </is>
      </c>
      <c r="D18" s="7" t="inlineStr">
        <is>
          <t>(300, 0, Standard)</t>
        </is>
      </c>
      <c r="E18" s="7" t="inlineStr">
        <is>
          <t>Pesanan tersimpan, total Rp 300.000</t>
        </is>
      </c>
      <c r="F18" s="7" t="inlineStr">
        <is>
          <t>K1</t>
        </is>
      </c>
    </row>
    <row r="19">
      <c r="A19" s="3" t="inlineStr">
        <is>
          <t>TC-EP-02</t>
        </is>
      </c>
      <c r="B19" s="7" t="inlineStr">
        <is>
          <t>Input valid, pesanan diterima dengan biaya cetak</t>
        </is>
      </c>
      <c r="C19" s="7" t="inlineStr">
        <is>
          <t>P1</t>
        </is>
      </c>
      <c r="D19" s="7" t="inlineStr">
        <is>
          <t>(300, 100, Standard)</t>
        </is>
      </c>
      <c r="E19" s="7" t="inlineStr">
        <is>
          <t>Pesanan tersimpan, total Rp 600.000</t>
        </is>
      </c>
      <c r="F19" s="7" t="inlineStr">
        <is>
          <t>K2</t>
        </is>
      </c>
    </row>
    <row r="20">
      <c r="A20" s="3" t="inlineStr">
        <is>
          <t>TC-EP-03</t>
        </is>
      </c>
      <c r="B20" s="7" t="inlineStr">
        <is>
          <t>Rentang valid, ditolak aturan paket</t>
        </is>
      </c>
      <c r="C20" s="7" t="inlineStr">
        <is>
          <t>P2</t>
        </is>
      </c>
      <c r="D20" s="7" t="inlineStr">
        <is>
          <t>(300, 100, Basic)</t>
        </is>
      </c>
      <c r="E20" s="7" t="inlineStr">
        <is>
          <t>Ditolak pada Cetak Tambahan: paket Basic tidak menyediakan cetak tambahan</t>
        </is>
      </c>
      <c r="F20" s="7" t="inlineStr">
        <is>
          <t>K3</t>
        </is>
      </c>
    </row>
    <row r="21">
      <c r="A21" s="3" t="inlineStr">
        <is>
          <t>TC-EP-04</t>
        </is>
      </c>
      <c r="B21" s="7" t="inlineStr">
        <is>
          <t>Input tidak valid: di bawah batas bawah</t>
        </is>
      </c>
      <c r="C21" s="7" t="inlineStr">
        <is>
          <t>P3, tamu &lt; 10</t>
        </is>
      </c>
      <c r="D21" s="7" t="inlineStr">
        <is>
          <t>(5, 100, Standard)</t>
        </is>
      </c>
      <c r="E21" s="7" t="inlineStr">
        <is>
          <t>Ditolak pada Jumlah Tamu: minimal 10 orang</t>
        </is>
      </c>
      <c r="F21" s="7" t="inlineStr">
        <is>
          <t>K4</t>
        </is>
      </c>
    </row>
    <row r="22">
      <c r="A22" s="3" t="inlineStr">
        <is>
          <t>TC-EP-05</t>
        </is>
      </c>
      <c r="B22" s="7" t="inlineStr">
        <is>
          <t>Input tidak valid: di bawah batas bawah</t>
        </is>
      </c>
      <c r="C22" s="7" t="inlineStr">
        <is>
          <t>P3, cetak &lt; 0</t>
        </is>
      </c>
      <c r="D22" s="7" t="inlineStr">
        <is>
          <t>(300, -5, Standard)</t>
        </is>
      </c>
      <c r="E22" s="7" t="inlineStr">
        <is>
          <t>Ditolak pada Cetak Tambahan: tidak boleh negatif</t>
        </is>
      </c>
      <c r="F22" s="7" t="inlineStr">
        <is>
          <t>K4</t>
        </is>
      </c>
    </row>
    <row r="23">
      <c r="A23" s="3" t="inlineStr">
        <is>
          <t>TC-EP-06</t>
        </is>
      </c>
      <c r="B23" s="7" t="inlineStr">
        <is>
          <t>Input tidak valid: di atas batas atas</t>
        </is>
      </c>
      <c r="C23" s="7" t="inlineStr">
        <is>
          <t>P4, tamu &gt; 2000</t>
        </is>
      </c>
      <c r="D23" s="7" t="inlineStr">
        <is>
          <t>(2500, 100, Standard)</t>
        </is>
      </c>
      <c r="E23" s="7" t="inlineStr">
        <is>
          <t>Ditolak pada Jumlah Tamu: maksimal 2000 orang</t>
        </is>
      </c>
      <c r="F23" s="7" t="inlineStr">
        <is>
          <t>K5</t>
        </is>
      </c>
    </row>
    <row r="24">
      <c r="A24" s="3" t="inlineStr">
        <is>
          <t>TC-EP-07</t>
        </is>
      </c>
      <c r="B24" s="7" t="inlineStr">
        <is>
          <t>Input tidak valid: di atas batas atas</t>
        </is>
      </c>
      <c r="C24" s="7" t="inlineStr">
        <is>
          <t>P4, cetak &gt; 500</t>
        </is>
      </c>
      <c r="D24" s="7" t="inlineStr">
        <is>
          <t>(300, 600, Standard)</t>
        </is>
      </c>
      <c r="E24" s="7" t="inlineStr">
        <is>
          <t>Ditolak pada Cetak Tambahan: maksimal 500 lembar</t>
        </is>
      </c>
      <c r="F24" s="7" t="inlineStr">
        <is>
          <t>K5</t>
        </is>
      </c>
    </row>
    <row r="25">
      <c r="A25" s="3" t="inlineStr">
        <is>
          <t>TC-EP-08</t>
        </is>
      </c>
      <c r="B25" s="7" t="inlineStr">
        <is>
          <t>Input tidak valid: bukan bilangan bulat</t>
        </is>
      </c>
      <c r="C25" s="7" t="inlineStr">
        <is>
          <t>P5, tamu pecahan</t>
        </is>
      </c>
      <c r="D25" s="7" t="inlineStr">
        <is>
          <t>(100.5, 100, Standard)</t>
        </is>
      </c>
      <c r="E25" s="7" t="inlineStr">
        <is>
          <t>Ditolak pada Jumlah Tamu: harus bilangan bulat</t>
        </is>
      </c>
      <c r="F25" s="7" t="inlineStr">
        <is>
          <t>K6</t>
        </is>
      </c>
    </row>
    <row r="26">
      <c r="A26" s="3" t="inlineStr">
        <is>
          <t>TC-EP-09</t>
        </is>
      </c>
      <c r="B26" s="7" t="inlineStr">
        <is>
          <t>Input tidak valid: bukan bilangan bulat</t>
        </is>
      </c>
      <c r="C26" s="7" t="inlineStr">
        <is>
          <t>P5, cetak pecahan</t>
        </is>
      </c>
      <c r="D26" s="7" t="inlineStr">
        <is>
          <t>(300, 2.5, Standard)</t>
        </is>
      </c>
      <c r="E26" s="7" t="inlineStr">
        <is>
          <t>Ditolak pada Cetak Tambahan: harus bilangan bulat</t>
        </is>
      </c>
      <c r="F26" s="7" t="inlineStr">
        <is>
          <t>K6</t>
        </is>
      </c>
    </row>
  </sheetData>
  <mergeCells count="2">
    <mergeCell ref="B4:F4"/>
    <mergeCell ref="A2:H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38" customWidth="1" min="2" max="2"/>
    <col width="34" customWidth="1" min="3" max="3"/>
    <col width="38" customWidth="1" min="4" max="4"/>
    <col width="30" customWidth="1" min="5" max="5"/>
    <col width="52" customWidth="1" min="6" max="6"/>
    <col width="52" customWidth="1" min="7" max="7"/>
    <col width="52" customWidth="1" min="8" max="8"/>
    <col width="10" customWidth="1" min="9" max="9"/>
    <col width="14" customWidth="1" min="10" max="10"/>
    <col width="14" customWidth="1" min="11" max="11"/>
    <col width="44" customWidth="1" min="12" max="12"/>
    <col width="12" customWidth="1" min="13" max="13"/>
    <col width="40" customWidth="1" min="14" max="14"/>
  </cols>
  <sheetData>
    <row r="1">
      <c r="A1" s="1" t="inlineStr">
        <is>
          <t>04_Rancangan_dan_Eksekusi: Test Case, Hasil, dan Bukti</t>
        </is>
      </c>
    </row>
    <row r="2" ht="30" customHeight="1">
      <c r="A2" s="2" t="inlineStr">
        <is>
          <t>Status: Lulus jika actual sama dengan expected, Gagal jika berbeda, Terblokir jika tidak dapat dijalankan. Sel kuning diisi praktikan.</t>
        </is>
      </c>
    </row>
    <row r="4">
      <c r="A4" s="9" t="inlineStr">
        <is>
          <t>Test Case ID</t>
        </is>
      </c>
      <c r="B4" s="9" t="inlineStr">
        <is>
          <t>Test Basis / Condition</t>
        </is>
      </c>
      <c r="C4" s="9" t="inlineStr">
        <is>
          <t>Teknik dan Coverage</t>
        </is>
      </c>
      <c r="D4" s="9" t="inlineStr">
        <is>
          <t>Prasyarat</t>
        </is>
      </c>
      <c r="E4" s="9" t="inlineStr">
        <is>
          <t>Data Uji</t>
        </is>
      </c>
      <c r="F4" s="9" t="inlineStr">
        <is>
          <t>Langkah</t>
        </is>
      </c>
      <c r="G4" s="9" t="inlineStr">
        <is>
          <t>Expected Result</t>
        </is>
      </c>
      <c r="H4" s="9" t="inlineStr">
        <is>
          <t>Actual Result</t>
        </is>
      </c>
      <c r="I4" s="9" t="inlineStr">
        <is>
          <t>Status</t>
        </is>
      </c>
      <c r="J4" s="9" t="inlineStr">
        <is>
          <t>Tanggal Eksekusi</t>
        </is>
      </c>
      <c r="K4" s="9" t="inlineStr">
        <is>
          <t>Penguji</t>
        </is>
      </c>
      <c r="L4" s="9" t="inlineStr">
        <is>
          <t>Bukti</t>
        </is>
      </c>
      <c r="M4" s="9" t="inlineStr">
        <is>
          <t>Incident ID</t>
        </is>
      </c>
      <c r="N4" s="9" t="inlineStr">
        <is>
          <t>Catatan</t>
        </is>
      </c>
    </row>
    <row r="5">
      <c r="A5" s="3" t="inlineStr">
        <is>
          <t>TC-BVA-01</t>
        </is>
      </c>
      <c r="B5" s="7" t="inlineStr">
        <is>
          <t>REQ-010, BR-22, TCD-025: jumlah tamu 10 sampai 2000, bilangan bulat</t>
        </is>
      </c>
      <c r="C5" s="7" t="inlineStr">
        <is>
          <t>BVA: Jumlah Tamu = Min</t>
        </is>
      </c>
      <c r="D5" s="7" t="inlineStr">
        <is>
          <t>Sudah login sebagai pelanggan.uji@mail.com. Pesanan berstatus Menunggu Pembayaran kurang dari 3 (pesanan hasil kasus sebelumnya sudah dibatalkan).</t>
        </is>
      </c>
      <c r="E5" s="7" t="inlineStr">
        <is>
          <t>Jumlah Tamu = 10; Cetak Tambahan = 250; Paket = Standard</t>
        </is>
      </c>
      <c r="F5" s="7" t="inlineStr">
        <is>
          <t>1. Buka Pesanan Saya lalu tekan Buat Pesanan.
2. Isi Nama Pengantin Wanita Sarah dan Nama Pengantin Pria James.
3. Isi Tanggal Pernikahan 2026-11-01 dan Lokasi Grand Ballroom, Hotel Mulia.
4. Pilih Tema Elegant Gold dan Paket Standard.
5. Isi Jumlah Tamu 10 dan Cetak Tambahan 250.
6. Tekan Buat Pesanan.</t>
        </is>
      </c>
      <c r="G5" s="7" t="inlineStr">
        <is>
          <t>Halaman detail pesanan tampil dengan status Menunggu Pembayaran. Jumlah tamu 10 orang. Cetak tambahan (250 lembar) Rp 750.000. Total Rp 1.050.000.</t>
        </is>
      </c>
      <c r="H5" s="7" t="inlineStr">
        <is>
          <t>Pesanan WDL-0001 tersimpan dengan status Menunggu Pembayaran. Jumlah tamu 10 orang. Cetak tambahan (250 lembar) Rp 750.000. Total Rp 1.050.000.</t>
        </is>
      </c>
      <c r="I5" s="7" t="inlineStr">
        <is>
          <t>Lulus</t>
        </is>
      </c>
      <c r="J5" s="7" t="inlineStr">
        <is>
          <t>2026-10-02</t>
        </is>
      </c>
      <c r="K5" s="4" t="inlineStr">
        <is>
          <t>(isi nama)</t>
        </is>
      </c>
      <c r="L5" s="11" t="inlineStr">
        <is>
          <t>https://github.com/bagassfernanda/wedlify/blob/main/docs/modul3/bukti/TC-BVA-01.png</t>
        </is>
      </c>
      <c r="M5" s="7" t="inlineStr"/>
      <c r="N5" s="7" t="inlineStr"/>
    </row>
    <row r="6">
      <c r="A6" s="3" t="inlineStr">
        <is>
          <t>TC-BVA-02</t>
        </is>
      </c>
      <c r="B6" s="7" t="inlineStr">
        <is>
          <t>REQ-010, BR-22, TCD-025: jumlah tamu 10 sampai 2000, bilangan bulat</t>
        </is>
      </c>
      <c r="C6" s="7" t="inlineStr">
        <is>
          <t>BVA: Jumlah Tamu = Min+</t>
        </is>
      </c>
      <c r="D6" s="7" t="inlineStr">
        <is>
          <t>Sudah login sebagai pelanggan.uji@mail.com. Pesanan berstatus Menunggu Pembayaran kurang dari 3 (pesanan hasil kasus sebelumnya sudah dibatalkan).</t>
        </is>
      </c>
      <c r="E6" s="7" t="inlineStr">
        <is>
          <t>Jumlah Tamu = 11; Cetak Tambahan = 250; Paket = Standard</t>
        </is>
      </c>
      <c r="F6" s="7" t="inlineStr">
        <is>
          <t>1. Buka Pesanan Saya lalu tekan Buat Pesanan.
2. Isi Nama Pengantin Wanita Sarah dan Nama Pengantin Pria James.
3. Isi Tanggal Pernikahan 2026-11-01 dan Lokasi Grand Ballroom, Hotel Mulia.
4. Pilih Tema Elegant Gold dan Paket Standard.
5. Isi Jumlah Tamu 11 dan Cetak Tambahan 250.
6. Tekan Buat Pesanan.</t>
        </is>
      </c>
      <c r="G6" s="7" t="inlineStr">
        <is>
          <t>Halaman detail pesanan tampil dengan status Menunggu Pembayaran. Jumlah tamu 11 orang. Cetak tambahan (250 lembar) Rp 750.000. Total Rp 1.050.000.</t>
        </is>
      </c>
      <c r="H6" s="7" t="inlineStr">
        <is>
          <t>Pesanan WDL-0002 tersimpan dengan status Menunggu Pembayaran. Jumlah tamu 11 orang. Cetak tambahan (250 lembar) Rp 750.000. Total Rp 1.050.000.</t>
        </is>
      </c>
      <c r="I6" s="7" t="inlineStr">
        <is>
          <t>Lulus</t>
        </is>
      </c>
      <c r="J6" s="7" t="inlineStr">
        <is>
          <t>2026-10-02</t>
        </is>
      </c>
      <c r="K6" s="4" t="inlineStr">
        <is>
          <t>(isi nama)</t>
        </is>
      </c>
      <c r="L6" s="11" t="inlineStr">
        <is>
          <t>https://github.com/bagassfernanda/wedlify/blob/main/docs/modul3/bukti/TC-BVA-02.png</t>
        </is>
      </c>
      <c r="M6" s="7" t="inlineStr"/>
      <c r="N6" s="7" t="inlineStr"/>
    </row>
    <row r="7">
      <c r="A7" s="3" t="inlineStr">
        <is>
          <t>TC-BVA-03</t>
        </is>
      </c>
      <c r="B7" s="7" t="inlineStr">
        <is>
          <t>REQ-010, BR-22, TCD-025: jumlah tamu 10 sampai 2000, bilangan bulat</t>
        </is>
      </c>
      <c r="C7" s="7" t="inlineStr">
        <is>
          <t>BVA: Jumlah Tamu = Max-</t>
        </is>
      </c>
      <c r="D7" s="7" t="inlineStr">
        <is>
          <t>Sudah login sebagai pelanggan.uji@mail.com. Pesanan berstatus Menunggu Pembayaran kurang dari 3 (pesanan hasil kasus sebelumnya sudah dibatalkan).</t>
        </is>
      </c>
      <c r="E7" s="7" t="inlineStr">
        <is>
          <t>Jumlah Tamu = 1999; Cetak Tambahan = 250; Paket = Standard</t>
        </is>
      </c>
      <c r="F7" s="7" t="inlineStr">
        <is>
          <t>1. Buka Pesanan Saya lalu tekan Buat Pesanan.
2. Isi Nama Pengantin Wanita Sarah dan Nama Pengantin Pria James.
3. Isi Tanggal Pernikahan 2026-11-01 dan Lokasi Grand Ballroom, Hotel Mulia.
4. Pilih Tema Elegant Gold dan Paket Standard.
5. Isi Jumlah Tamu 1999 dan Cetak Tambahan 250.
6. Tekan Buat Pesanan.</t>
        </is>
      </c>
      <c r="G7" s="7" t="inlineStr">
        <is>
          <t>Halaman detail pesanan tampil dengan status Menunggu Pembayaran. Jumlah tamu 1999 orang. Cetak tambahan (250 lembar) Rp 750.000. Total Rp 1.050.000.</t>
        </is>
      </c>
      <c r="H7" s="7" t="inlineStr">
        <is>
          <t>Pesanan WDL-0003 tersimpan dengan status Menunggu Pembayaran. Jumlah tamu 1999 orang. Cetak tambahan (250 lembar) Rp 750.000. Total Rp 1.050.000.</t>
        </is>
      </c>
      <c r="I7" s="7" t="inlineStr">
        <is>
          <t>Lulus</t>
        </is>
      </c>
      <c r="J7" s="7" t="inlineStr">
        <is>
          <t>2026-10-02</t>
        </is>
      </c>
      <c r="K7" s="4" t="inlineStr">
        <is>
          <t>(isi nama)</t>
        </is>
      </c>
      <c r="L7" s="11" t="inlineStr">
        <is>
          <t>https://github.com/bagassfernanda/wedlify/blob/main/docs/modul3/bukti/TC-BVA-03.png</t>
        </is>
      </c>
      <c r="M7" s="7" t="inlineStr"/>
      <c r="N7" s="7" t="inlineStr"/>
    </row>
    <row r="8">
      <c r="A8" s="3" t="inlineStr">
        <is>
          <t>TC-BVA-04</t>
        </is>
      </c>
      <c r="B8" s="7" t="inlineStr">
        <is>
          <t>REQ-010, BR-22, TCD-025: jumlah tamu 10 sampai 2000, bilangan bulat</t>
        </is>
      </c>
      <c r="C8" s="7" t="inlineStr">
        <is>
          <t>BVA: Jumlah Tamu = Max</t>
        </is>
      </c>
      <c r="D8" s="7" t="inlineStr">
        <is>
          <t>Sudah login sebagai pelanggan.uji@mail.com. Pesanan berstatus Menunggu Pembayaran kurang dari 3 (pesanan hasil kasus sebelumnya sudah dibatalkan).</t>
        </is>
      </c>
      <c r="E8" s="7" t="inlineStr">
        <is>
          <t>Jumlah Tamu = 2000; Cetak Tambahan = 250; Paket = Standard</t>
        </is>
      </c>
      <c r="F8" s="7" t="inlineStr">
        <is>
          <t>1. Buka Pesanan Saya lalu tekan Buat Pesanan.
2. Isi Nama Pengantin Wanita Sarah dan Nama Pengantin Pria James.
3. Isi Tanggal Pernikahan 2026-11-01 dan Lokasi Grand Ballroom, Hotel Mulia.
4. Pilih Tema Elegant Gold dan Paket Standard.
5. Isi Jumlah Tamu 2000 dan Cetak Tambahan 250.
6. Tekan Buat Pesanan.</t>
        </is>
      </c>
      <c r="G8" s="7" t="inlineStr">
        <is>
          <t>Halaman detail pesanan tampil dengan status Menunggu Pembayaran. Jumlah tamu 2000 orang. Cetak tambahan (250 lembar) Rp 750.000. Total Rp 1.050.000.</t>
        </is>
      </c>
      <c r="H8" s="7" t="inlineStr">
        <is>
          <t>Pesanan WDL-0004 tersimpan dengan status Menunggu Pembayaran. Jumlah tamu 2000 orang. Cetak tambahan (250 lembar) Rp 750.000. Total Rp 1.050.000.</t>
        </is>
      </c>
      <c r="I8" s="7" t="inlineStr">
        <is>
          <t>Lulus</t>
        </is>
      </c>
      <c r="J8" s="7" t="inlineStr">
        <is>
          <t>2026-10-02</t>
        </is>
      </c>
      <c r="K8" s="4" t="inlineStr">
        <is>
          <t>(isi nama)</t>
        </is>
      </c>
      <c r="L8" s="11" t="inlineStr">
        <is>
          <t>https://github.com/bagassfernanda/wedlify/blob/main/docs/modul3/bukti/TC-BVA-04.png</t>
        </is>
      </c>
      <c r="M8" s="7" t="inlineStr"/>
      <c r="N8" s="7" t="inlineStr"/>
    </row>
    <row r="9">
      <c r="A9" s="3" t="inlineStr">
        <is>
          <t>TC-BVA-05</t>
        </is>
      </c>
      <c r="B9" s="7" t="inlineStr">
        <is>
          <t>REQ-015, BR-31, BR-33, TCD-037: cetak tambahan 0 sampai 500 lembar, Rp 3.000 per lembar</t>
        </is>
      </c>
      <c r="C9" s="7" t="inlineStr">
        <is>
          <t>BVA: Cetak Tambahan = Min</t>
        </is>
      </c>
      <c r="D9" s="7" t="inlineStr">
        <is>
          <t>Sudah login sebagai pelanggan.uji@mail.com. Pesanan berstatus Menunggu Pembayaran kurang dari 3 (pesanan hasil kasus sebelumnya sudah dibatalkan).</t>
        </is>
      </c>
      <c r="E9" s="7" t="inlineStr">
        <is>
          <t>Jumlah Tamu = 1000; Cetak Tambahan = 0; Paket = Standard</t>
        </is>
      </c>
      <c r="F9" s="7" t="inlineStr">
        <is>
          <t>1. Buka Pesanan Saya lalu tekan Buat Pesanan.
2. Isi Nama Pengantin Wanita Sarah dan Nama Pengantin Pria James.
3. Isi Tanggal Pernikahan 2026-11-01 dan Lokasi Grand Ballroom, Hotel Mulia.
4. Pilih Tema Elegant Gold dan Paket Standard.
5. Isi Jumlah Tamu 1000 dan Cetak Tambahan 0.
6. Tekan Buat Pesanan.</t>
        </is>
      </c>
      <c r="G9" s="7" t="inlineStr">
        <is>
          <t>Halaman detail pesanan tampil dengan status Menunggu Pembayaran. Jumlah tamu 1000 orang. Cetak tambahan (0 lembar) Rp 0. Total Rp 300.000.</t>
        </is>
      </c>
      <c r="H9" s="7" t="inlineStr">
        <is>
          <t>Pesanan WDL-0005 tersimpan dengan status Menunggu Pembayaran. Jumlah tamu 1000 orang. Cetak tambahan (0 lembar) Rp 0. Total Rp 300.000.</t>
        </is>
      </c>
      <c r="I9" s="7" t="inlineStr">
        <is>
          <t>Lulus</t>
        </is>
      </c>
      <c r="J9" s="7" t="inlineStr">
        <is>
          <t>2026-10-02</t>
        </is>
      </c>
      <c r="K9" s="4" t="inlineStr">
        <is>
          <t>(isi nama)</t>
        </is>
      </c>
      <c r="L9" s="11" t="inlineStr">
        <is>
          <t>https://github.com/bagassfernanda/wedlify/blob/main/docs/modul3/bukti/TC-BVA-05.png</t>
        </is>
      </c>
      <c r="M9" s="7" t="inlineStr"/>
      <c r="N9" s="7" t="inlineStr"/>
    </row>
    <row r="10">
      <c r="A10" s="3" t="inlineStr">
        <is>
          <t>TC-BVA-06</t>
        </is>
      </c>
      <c r="B10" s="7" t="inlineStr">
        <is>
          <t>REQ-015, BR-31, BR-33, TCD-037: cetak tambahan 0 sampai 500 lembar, Rp 3.000 per lembar</t>
        </is>
      </c>
      <c r="C10" s="7" t="inlineStr">
        <is>
          <t>BVA: Cetak Tambahan = Min+</t>
        </is>
      </c>
      <c r="D10" s="7" t="inlineStr">
        <is>
          <t>Sudah login sebagai pelanggan.uji@mail.com. Pesanan berstatus Menunggu Pembayaran kurang dari 3 (pesanan hasil kasus sebelumnya sudah dibatalkan).</t>
        </is>
      </c>
      <c r="E10" s="7" t="inlineStr">
        <is>
          <t>Jumlah Tamu = 1000; Cetak Tambahan = 1; Paket = Standard</t>
        </is>
      </c>
      <c r="F10" s="7" t="inlineStr">
        <is>
          <t>1. Buka Pesanan Saya lalu tekan Buat Pesanan.
2. Isi Nama Pengantin Wanita Sarah dan Nama Pengantin Pria James.
3. Isi Tanggal Pernikahan 2026-11-01 dan Lokasi Grand Ballroom, Hotel Mulia.
4. Pilih Tema Elegant Gold dan Paket Standard.
5. Isi Jumlah Tamu 1000 dan Cetak Tambahan 1.
6. Tekan Buat Pesanan.</t>
        </is>
      </c>
      <c r="G10" s="7" t="inlineStr">
        <is>
          <t>Halaman detail pesanan tampil dengan status Menunggu Pembayaran. Jumlah tamu 1000 orang. Cetak tambahan (1 lembar) Rp 3.000. Total Rp 303.000.</t>
        </is>
      </c>
      <c r="H10" s="7" t="inlineStr">
        <is>
          <t>Pesanan WDL-0006 tersimpan dengan status Menunggu Pembayaran. Jumlah tamu 1000 orang. Cetak tambahan (1 lembar) Rp 3.000. Total Rp 303.000.</t>
        </is>
      </c>
      <c r="I10" s="7" t="inlineStr">
        <is>
          <t>Lulus</t>
        </is>
      </c>
      <c r="J10" s="7" t="inlineStr">
        <is>
          <t>2026-10-02</t>
        </is>
      </c>
      <c r="K10" s="4" t="inlineStr">
        <is>
          <t>(isi nama)</t>
        </is>
      </c>
      <c r="L10" s="11" t="inlineStr">
        <is>
          <t>https://github.com/bagassfernanda/wedlify/blob/main/docs/modul3/bukti/TC-BVA-06.png</t>
        </is>
      </c>
      <c r="M10" s="7" t="inlineStr"/>
      <c r="N10" s="7" t="inlineStr"/>
    </row>
    <row r="11">
      <c r="A11" s="3" t="inlineStr">
        <is>
          <t>TC-BVA-07</t>
        </is>
      </c>
      <c r="B11" s="7" t="inlineStr">
        <is>
          <t>REQ-015, BR-31, BR-33, TCD-037: cetak tambahan 0 sampai 500 lembar, Rp 3.000 per lembar</t>
        </is>
      </c>
      <c r="C11" s="7" t="inlineStr">
        <is>
          <t>BVA: Cetak Tambahan = Max-</t>
        </is>
      </c>
      <c r="D11" s="7" t="inlineStr">
        <is>
          <t>Sudah login sebagai pelanggan.uji@mail.com. Pesanan berstatus Menunggu Pembayaran kurang dari 3 (pesanan hasil kasus sebelumnya sudah dibatalkan).</t>
        </is>
      </c>
      <c r="E11" s="7" t="inlineStr">
        <is>
          <t>Jumlah Tamu = 1000; Cetak Tambahan = 499; Paket = Standard</t>
        </is>
      </c>
      <c r="F11" s="7" t="inlineStr">
        <is>
          <t>1. Buka Pesanan Saya lalu tekan Buat Pesanan.
2. Isi Nama Pengantin Wanita Sarah dan Nama Pengantin Pria James.
3. Isi Tanggal Pernikahan 2026-11-01 dan Lokasi Grand Ballroom, Hotel Mulia.
4. Pilih Tema Elegant Gold dan Paket Standard.
5. Isi Jumlah Tamu 1000 dan Cetak Tambahan 499.
6. Tekan Buat Pesanan.</t>
        </is>
      </c>
      <c r="G11" s="7" t="inlineStr">
        <is>
          <t>Halaman detail pesanan tampil dengan status Menunggu Pembayaran. Jumlah tamu 1000 orang. Cetak tambahan (499 lembar) Rp 1.497.000. Total Rp 1.797.000.</t>
        </is>
      </c>
      <c r="H11" s="7" t="inlineStr">
        <is>
          <t>Pesanan WDL-0007 tersimpan dengan status Menunggu Pembayaran. Jumlah tamu 1000 orang. Cetak tambahan (499 lembar) Rp 1.497.000. Total Rp 1.797.000.</t>
        </is>
      </c>
      <c r="I11" s="7" t="inlineStr">
        <is>
          <t>Lulus</t>
        </is>
      </c>
      <c r="J11" s="7" t="inlineStr">
        <is>
          <t>2026-10-02</t>
        </is>
      </c>
      <c r="K11" s="4" t="inlineStr">
        <is>
          <t>(isi nama)</t>
        </is>
      </c>
      <c r="L11" s="11" t="inlineStr">
        <is>
          <t>https://github.com/bagassfernanda/wedlify/blob/main/docs/modul3/bukti/TC-BVA-07.png</t>
        </is>
      </c>
      <c r="M11" s="7" t="inlineStr"/>
      <c r="N11" s="7" t="inlineStr"/>
    </row>
    <row r="12">
      <c r="A12" s="3" t="inlineStr">
        <is>
          <t>TC-BVA-08</t>
        </is>
      </c>
      <c r="B12" s="7" t="inlineStr">
        <is>
          <t>REQ-015, BR-31, BR-33, TCD-037: cetak tambahan 0 sampai 500 lembar, Rp 3.000 per lembar</t>
        </is>
      </c>
      <c r="C12" s="7" t="inlineStr">
        <is>
          <t>BVA: Cetak Tambahan = Max</t>
        </is>
      </c>
      <c r="D12" s="7" t="inlineStr">
        <is>
          <t>Sudah login sebagai pelanggan.uji@mail.com. Pesanan berstatus Menunggu Pembayaran kurang dari 3 (pesanan hasil kasus sebelumnya sudah dibatalkan).</t>
        </is>
      </c>
      <c r="E12" s="7" t="inlineStr">
        <is>
          <t>Jumlah Tamu = 1000; Cetak Tambahan = 500; Paket = Standard</t>
        </is>
      </c>
      <c r="F12" s="7" t="inlineStr">
        <is>
          <t>1. Buka Pesanan Saya lalu tekan Buat Pesanan.
2. Isi Nama Pengantin Wanita Sarah dan Nama Pengantin Pria James.
3. Isi Tanggal Pernikahan 2026-11-01 dan Lokasi Grand Ballroom, Hotel Mulia.
4. Pilih Tema Elegant Gold dan Paket Standard.
5. Isi Jumlah Tamu 1000 dan Cetak Tambahan 500.
6. Tekan Buat Pesanan.</t>
        </is>
      </c>
      <c r="G12" s="7" t="inlineStr">
        <is>
          <t>Halaman detail pesanan tampil dengan status Menunggu Pembayaran. Jumlah tamu 1000 orang. Cetak tambahan (500 lembar) Rp 1.500.000. Total Rp 1.800.000.</t>
        </is>
      </c>
      <c r="H12" s="7" t="inlineStr">
        <is>
          <t>Pesanan WDL-0008 tersimpan dengan status Menunggu Pembayaran. Jumlah tamu 1000 orang. Cetak tambahan (500 lembar) Rp 1.500.000. Total Rp 1.800.000.</t>
        </is>
      </c>
      <c r="I12" s="7" t="inlineStr">
        <is>
          <t>Lulus</t>
        </is>
      </c>
      <c r="J12" s="7" t="inlineStr">
        <is>
          <t>2026-10-02</t>
        </is>
      </c>
      <c r="K12" s="4" t="inlineStr">
        <is>
          <t>(isi nama)</t>
        </is>
      </c>
      <c r="L12" s="11" t="inlineStr">
        <is>
          <t>https://github.com/bagassfernanda/wedlify/blob/main/docs/modul3/bukti/TC-BVA-08.png</t>
        </is>
      </c>
      <c r="M12" s="7" t="inlineStr"/>
      <c r="N12" s="7" t="inlineStr"/>
    </row>
    <row r="13">
      <c r="A13" s="3" t="inlineStr">
        <is>
          <t>TC-BVA-09</t>
        </is>
      </c>
      <c r="B13" s="7" t="inlineStr">
        <is>
          <t>REQ-009, REQ-010, REQ-015, TCD-022: data pesanan valid</t>
        </is>
      </c>
      <c r="C13" s="7" t="inlineStr">
        <is>
          <t>BVA: Semua nominal</t>
        </is>
      </c>
      <c r="D13" s="7" t="inlineStr">
        <is>
          <t>Sudah login sebagai pelanggan.uji@mail.com. Pesanan berstatus Menunggu Pembayaran kurang dari 3 (pesanan hasil kasus sebelumnya sudah dibatalkan).</t>
        </is>
      </c>
      <c r="E13" s="7" t="inlineStr">
        <is>
          <t>Jumlah Tamu = 1000; Cetak Tambahan = 250; Paket = Standard</t>
        </is>
      </c>
      <c r="F13" s="7" t="inlineStr">
        <is>
          <t>1. Buka Pesanan Saya lalu tekan Buat Pesanan.
2. Isi Nama Pengantin Wanita Sarah dan Nama Pengantin Pria James.
3. Isi Tanggal Pernikahan 2026-11-01 dan Lokasi Grand Ballroom, Hotel Mulia.
4. Pilih Tema Elegant Gold dan Paket Standard.
5. Isi Jumlah Tamu 1000 dan Cetak Tambahan 250.
6. Tekan Buat Pesanan.</t>
        </is>
      </c>
      <c r="G13" s="7" t="inlineStr">
        <is>
          <t>Halaman detail pesanan tampil dengan status Menunggu Pembayaran. Jumlah tamu 1000 orang. Cetak tambahan (250 lembar) Rp 750.000. Total Rp 1.050.000.</t>
        </is>
      </c>
      <c r="H13" s="7" t="inlineStr">
        <is>
          <t>Pesanan WDL-0009 tersimpan dengan status Menunggu Pembayaran. Jumlah tamu 1000 orang. Cetak tambahan (250 lembar) Rp 750.000. Total Rp 1.050.000.</t>
        </is>
      </c>
      <c r="I13" s="7" t="inlineStr">
        <is>
          <t>Lulus</t>
        </is>
      </c>
      <c r="J13" s="7" t="inlineStr">
        <is>
          <t>2026-10-02</t>
        </is>
      </c>
      <c r="K13" s="4" t="inlineStr">
        <is>
          <t>(isi nama)</t>
        </is>
      </c>
      <c r="L13" s="11" t="inlineStr">
        <is>
          <t>https://github.com/bagassfernanda/wedlify/blob/main/docs/modul3/bukti/TC-BVA-09.png</t>
        </is>
      </c>
      <c r="M13" s="7" t="inlineStr"/>
      <c r="N13" s="7" t="inlineStr"/>
    </row>
    <row r="14">
      <c r="A14" s="3" t="inlineStr">
        <is>
          <t>TC-EP-01</t>
        </is>
      </c>
      <c r="B14" s="7" t="inlineStr">
        <is>
          <t>REQ-015, BR-31, BR-33, TCD-037: cetak tambahan 0 sampai 500 lembar, Rp 3.000 per lembar</t>
        </is>
      </c>
      <c r="C14" s="7" t="inlineStr">
        <is>
          <t>EP Weak Robust: P1 (Input valid, pesanan diterima tanpa biaya cetak)</t>
        </is>
      </c>
      <c r="D14" s="7" t="inlineStr">
        <is>
          <t>Sudah login sebagai pelanggan.uji@mail.com. Pesanan berstatus Menunggu Pembayaran kurang dari 3 (pesanan hasil kasus sebelumnya sudah dibatalkan).</t>
        </is>
      </c>
      <c r="E14" s="7" t="inlineStr">
        <is>
          <t>Jumlah Tamu = 300; Cetak Tambahan = 0; Paket = Standard</t>
        </is>
      </c>
      <c r="F14" s="7" t="inlineStr">
        <is>
          <t>1. Buka Pesanan Saya lalu tekan Buat Pesanan.
2. Isi Nama Pengantin Wanita Sarah dan Nama Pengantin Pria James.
3. Isi Tanggal Pernikahan 2026-11-01 dan Lokasi Grand Ballroom, Hotel Mulia.
4. Pilih Tema Elegant Gold dan Paket Standard.
5. Isi Jumlah Tamu 300 dan Cetak Tambahan 0.
6. Tekan Buat Pesanan.</t>
        </is>
      </c>
      <c r="G14" s="7" t="inlineStr">
        <is>
          <t>Halaman detail pesanan tampil dengan status Menunggu Pembayaran. Jumlah tamu 300 orang. Cetak tambahan (0 lembar) Rp 0. Total Rp 300.000.</t>
        </is>
      </c>
      <c r="H14" s="7" t="inlineStr">
        <is>
          <t>Pesanan WDL-0010 tersimpan dengan status Menunggu Pembayaran. Jumlah tamu 300 orang. Cetak tambahan (0 lembar) Rp 0. Total Rp 300.000.</t>
        </is>
      </c>
      <c r="I14" s="7" t="inlineStr">
        <is>
          <t>Lulus</t>
        </is>
      </c>
      <c r="J14" s="7" t="inlineStr">
        <is>
          <t>2026-10-02</t>
        </is>
      </c>
      <c r="K14" s="4" t="inlineStr">
        <is>
          <t>(isi nama)</t>
        </is>
      </c>
      <c r="L14" s="11" t="inlineStr">
        <is>
          <t>https://github.com/bagassfernanda/wedlify/blob/main/docs/modul3/bukti/TC-EP-01.png</t>
        </is>
      </c>
      <c r="M14" s="7" t="inlineStr"/>
      <c r="N14" s="7" t="inlineStr"/>
    </row>
    <row r="15">
      <c r="A15" s="3" t="inlineStr">
        <is>
          <t>TC-EP-02</t>
        </is>
      </c>
      <c r="B15" s="7" t="inlineStr">
        <is>
          <t>REQ-015, BR-31, BR-33, TCD-037: cetak tambahan 0 sampai 500 lembar, Rp 3.000 per lembar</t>
        </is>
      </c>
      <c r="C15" s="7" t="inlineStr">
        <is>
          <t>EP Weak Robust: P1 (Input valid, pesanan diterima dengan biaya cetak)</t>
        </is>
      </c>
      <c r="D15" s="7" t="inlineStr">
        <is>
          <t>Sudah login sebagai pelanggan.uji@mail.com. Pesanan berstatus Menunggu Pembayaran kurang dari 3 (pesanan hasil kasus sebelumnya sudah dibatalkan).</t>
        </is>
      </c>
      <c r="E15" s="7" t="inlineStr">
        <is>
          <t>Jumlah Tamu = 300; Cetak Tambahan = 100; Paket = Standard</t>
        </is>
      </c>
      <c r="F15" s="7" t="inlineStr">
        <is>
          <t>1. Buka Pesanan Saya lalu tekan Buat Pesanan.
2. Isi Nama Pengantin Wanita Sarah dan Nama Pengantin Pria James.
3. Isi Tanggal Pernikahan 2026-11-01 dan Lokasi Grand Ballroom, Hotel Mulia.
4. Pilih Tema Elegant Gold dan Paket Standard.
5. Isi Jumlah Tamu 300 dan Cetak Tambahan 100.
6. Tekan Buat Pesanan.</t>
        </is>
      </c>
      <c r="G15" s="7" t="inlineStr">
        <is>
          <t>Halaman detail pesanan tampil dengan status Menunggu Pembayaran. Jumlah tamu 300 orang. Cetak tambahan (100 lembar) Rp 300.000. Total Rp 600.000.</t>
        </is>
      </c>
      <c r="H15" s="7" t="inlineStr">
        <is>
          <t>Pesanan WDL-0011 tersimpan dengan status Menunggu Pembayaran. Jumlah tamu 300 orang. Cetak tambahan (100 lembar) Rp 300.000. Total Rp 600.000.</t>
        </is>
      </c>
      <c r="I15" s="7" t="inlineStr">
        <is>
          <t>Lulus</t>
        </is>
      </c>
      <c r="J15" s="7" t="inlineStr">
        <is>
          <t>2026-10-02</t>
        </is>
      </c>
      <c r="K15" s="4" t="inlineStr">
        <is>
          <t>(isi nama)</t>
        </is>
      </c>
      <c r="L15" s="11" t="inlineStr">
        <is>
          <t>https://github.com/bagassfernanda/wedlify/blob/main/docs/modul3/bukti/TC-EP-02.png</t>
        </is>
      </c>
      <c r="M15" s="7" t="inlineStr"/>
      <c r="N15" s="7" t="inlineStr"/>
    </row>
    <row r="16">
      <c r="A16" s="3" t="inlineStr">
        <is>
          <t>TC-EP-03</t>
        </is>
      </c>
      <c r="B16" s="7" t="inlineStr">
        <is>
          <t>REQ-016, BR-32, TCD-038: cetak tambahan hanya untuk Standard dan Premium</t>
        </is>
      </c>
      <c r="C16" s="7" t="inlineStr">
        <is>
          <t>EP Weak Robust: P2 (Rentang valid, ditolak aturan paket)</t>
        </is>
      </c>
      <c r="D16" s="7" t="inlineStr">
        <is>
          <t>Sudah login sebagai pelanggan.uji@mail.com. Pesanan berstatus Menunggu Pembayaran kurang dari 3 (pesanan hasil kasus sebelumnya sudah dibatalkan).</t>
        </is>
      </c>
      <c r="E16" s="7" t="inlineStr">
        <is>
          <t>Jumlah Tamu = 300; Cetak Tambahan = 100; Paket = Basic</t>
        </is>
      </c>
      <c r="F16" s="7" t="inlineStr">
        <is>
          <t>1. Buka Pesanan Saya lalu tekan Buat Pesanan.
2. Isi Nama Pengantin Wanita Sarah dan Nama Pengantin Pria James.
3. Isi Tanggal Pernikahan 2026-11-01 dan Lokasi Grand Ballroom, Hotel Mulia.
4. Pilih Tema Elegant Gold dan Paket Basic.
5. Isi Jumlah Tamu 300 dan Cetak Tambahan 100.
6. Tekan Buat Pesanan.</t>
        </is>
      </c>
      <c r="G16" s="7" t="inlineStr">
        <is>
          <t>Pesanan tidak tersimpan dan halaman tetap di form Buat Pesanan. Di bawah field Cetak Tambahan tampil pesan "Paket Basic tidak menyediakan cetak tambahan. Pilih Standard atau Premium.".</t>
        </is>
      </c>
      <c r="H16" s="7" t="inlineStr">
        <is>
          <t>Pesanan tidak tersimpan dan halaman tetap di form. Pesan yang tampil pada Cetak Tambahan: "Paket Basic tidak menyediakan cetak tambahan. Pilih Standard atau Premium.".</t>
        </is>
      </c>
      <c r="I16" s="7" t="inlineStr">
        <is>
          <t>Lulus</t>
        </is>
      </c>
      <c r="J16" s="7" t="inlineStr">
        <is>
          <t>2026-10-02</t>
        </is>
      </c>
      <c r="K16" s="4" t="inlineStr">
        <is>
          <t>(isi nama)</t>
        </is>
      </c>
      <c r="L16" s="11" t="inlineStr">
        <is>
          <t>https://github.com/bagassfernanda/wedlify/blob/main/docs/modul3/bukti/TC-EP-03.png</t>
        </is>
      </c>
      <c r="M16" s="7" t="inlineStr"/>
      <c r="N16" s="7" t="inlineStr"/>
    </row>
    <row r="17">
      <c r="A17" s="3" t="inlineStr">
        <is>
          <t>TC-EP-04</t>
        </is>
      </c>
      <c r="B17" s="7" t="inlineStr">
        <is>
          <t>REQ-010, BR-22, TCD-025: jumlah tamu 10 sampai 2000, bilangan bulat</t>
        </is>
      </c>
      <c r="C17" s="7" t="inlineStr">
        <is>
          <t>EP Weak Robust: P3, tamu &lt; 10 (Input tidak valid: di bawah batas bawah)</t>
        </is>
      </c>
      <c r="D17" s="7" t="inlineStr">
        <is>
          <t>Sudah login sebagai pelanggan.uji@mail.com. Pesanan berstatus Menunggu Pembayaran kurang dari 3 (pesanan hasil kasus sebelumnya sudah dibatalkan).</t>
        </is>
      </c>
      <c r="E17" s="7" t="inlineStr">
        <is>
          <t>Jumlah Tamu = 5; Cetak Tambahan = 100; Paket = Standard</t>
        </is>
      </c>
      <c r="F17" s="7" t="inlineStr">
        <is>
          <t>1. Buka Pesanan Saya lalu tekan Buat Pesanan.
2. Isi Nama Pengantin Wanita Sarah dan Nama Pengantin Pria James.
3. Isi Tanggal Pernikahan 2026-11-01 dan Lokasi Grand Ballroom, Hotel Mulia.
4. Pilih Tema Elegant Gold dan Paket Standard.
5. Isi Jumlah Tamu 5 dan Cetak Tambahan 100.
6. Tekan Buat Pesanan.</t>
        </is>
      </c>
      <c r="G17" s="7" t="inlineStr">
        <is>
          <t>Pesanan tidak tersimpan dan halaman tetap di form Buat Pesanan. Di bawah field Jumlah Tamu tampil pesan "Jumlah tamu minimal 10 orang".</t>
        </is>
      </c>
      <c r="H17" s="7" t="inlineStr">
        <is>
          <t>Pesanan tidak tersimpan dan halaman tetap di form. Pesan yang tampil pada Jumlah Tamu: "Jumlah tamu minimal 10 orang".</t>
        </is>
      </c>
      <c r="I17" s="7" t="inlineStr">
        <is>
          <t>Lulus</t>
        </is>
      </c>
      <c r="J17" s="7" t="inlineStr">
        <is>
          <t>2026-10-02</t>
        </is>
      </c>
      <c r="K17" s="4" t="inlineStr">
        <is>
          <t>(isi nama)</t>
        </is>
      </c>
      <c r="L17" s="11" t="inlineStr">
        <is>
          <t>https://github.com/bagassfernanda/wedlify/blob/main/docs/modul3/bukti/TC-EP-04.png</t>
        </is>
      </c>
      <c r="M17" s="7" t="inlineStr"/>
      <c r="N17" s="7" t="inlineStr">
        <is>
          <t>Saat menjalankan kasus ini teramati INC-001 pada panel Rincian Harga. Temuan itu di luar expected result kasus ini, sehingga status kasus tetap Lulus.</t>
        </is>
      </c>
    </row>
    <row r="18">
      <c r="A18" s="3" t="inlineStr">
        <is>
          <t>TC-EP-05</t>
        </is>
      </c>
      <c r="B18" s="7" t="inlineStr">
        <is>
          <t>REQ-015, BR-31, BR-33, TCD-037: cetak tambahan 0 sampai 500 lembar, Rp 3.000 per lembar</t>
        </is>
      </c>
      <c r="C18" s="7" t="inlineStr">
        <is>
          <t>EP Weak Robust: P3, cetak &lt; 0 (Input tidak valid: di bawah batas bawah)</t>
        </is>
      </c>
      <c r="D18" s="7" t="inlineStr">
        <is>
          <t>Sudah login sebagai pelanggan.uji@mail.com. Pesanan berstatus Menunggu Pembayaran kurang dari 3 (pesanan hasil kasus sebelumnya sudah dibatalkan).</t>
        </is>
      </c>
      <c r="E18" s="7" t="inlineStr">
        <is>
          <t>Jumlah Tamu = 300; Cetak Tambahan = -5; Paket = Standard</t>
        </is>
      </c>
      <c r="F18" s="7" t="inlineStr">
        <is>
          <t>1. Buka Pesanan Saya lalu tekan Buat Pesanan.
2. Isi Nama Pengantin Wanita Sarah dan Nama Pengantin Pria James.
3. Isi Tanggal Pernikahan 2026-11-01 dan Lokasi Grand Ballroom, Hotel Mulia.
4. Pilih Tema Elegant Gold dan Paket Standard.
5. Isi Jumlah Tamu 300 dan Cetak Tambahan -5.
6. Tekan Buat Pesanan.</t>
        </is>
      </c>
      <c r="G18" s="7" t="inlineStr">
        <is>
          <t>Pesanan tidak tersimpan dan halaman tetap di form Buat Pesanan. Di bawah field Cetak Tambahan tampil pesan "Cetak tambahan tidak boleh negatif".</t>
        </is>
      </c>
      <c r="H18" s="7" t="inlineStr">
        <is>
          <t>Pesanan tidak tersimpan dan halaman tetap di form. Pesan yang tampil pada Cetak Tambahan: "Cetak tambahan tidak boleh negatif".</t>
        </is>
      </c>
      <c r="I18" s="7" t="inlineStr">
        <is>
          <t>Lulus</t>
        </is>
      </c>
      <c r="J18" s="7" t="inlineStr">
        <is>
          <t>2026-10-02</t>
        </is>
      </c>
      <c r="K18" s="4" t="inlineStr">
        <is>
          <t>(isi nama)</t>
        </is>
      </c>
      <c r="L18" s="11" t="inlineStr">
        <is>
          <t>https://github.com/bagassfernanda/wedlify/blob/main/docs/modul3/bukti/TC-EP-05.png</t>
        </is>
      </c>
      <c r="M18" s="7" t="inlineStr"/>
      <c r="N18" s="7" t="inlineStr"/>
    </row>
    <row r="19">
      <c r="A19" s="3" t="inlineStr">
        <is>
          <t>TC-EP-06</t>
        </is>
      </c>
      <c r="B19" s="7" t="inlineStr">
        <is>
          <t>REQ-010, BR-22, TCD-025: jumlah tamu 10 sampai 2000, bilangan bulat</t>
        </is>
      </c>
      <c r="C19" s="7" t="inlineStr">
        <is>
          <t>EP Weak Robust: P4, tamu &gt; 2000 (Input tidak valid: di atas batas atas)</t>
        </is>
      </c>
      <c r="D19" s="7" t="inlineStr">
        <is>
          <t>Sudah login sebagai pelanggan.uji@mail.com. Pesanan berstatus Menunggu Pembayaran kurang dari 3 (pesanan hasil kasus sebelumnya sudah dibatalkan).</t>
        </is>
      </c>
      <c r="E19" s="7" t="inlineStr">
        <is>
          <t>Jumlah Tamu = 2500; Cetak Tambahan = 100; Paket = Standard</t>
        </is>
      </c>
      <c r="F19" s="7" t="inlineStr">
        <is>
          <t>1. Buka Pesanan Saya lalu tekan Buat Pesanan.
2. Isi Nama Pengantin Wanita Sarah dan Nama Pengantin Pria James.
3. Isi Tanggal Pernikahan 2026-11-01 dan Lokasi Grand Ballroom, Hotel Mulia.
4. Pilih Tema Elegant Gold dan Paket Standard.
5. Isi Jumlah Tamu 2500 dan Cetak Tambahan 100.
6. Tekan Buat Pesanan.</t>
        </is>
      </c>
      <c r="G19" s="7" t="inlineStr">
        <is>
          <t>Pesanan tidak tersimpan dan halaman tetap di form Buat Pesanan. Di bawah field Jumlah Tamu tampil pesan "Jumlah tamu maksimal 2000 orang".</t>
        </is>
      </c>
      <c r="H19" s="7" t="inlineStr">
        <is>
          <t>Pesanan tidak tersimpan dan halaman tetap di form. Pesan yang tampil pada Jumlah Tamu: "Jumlah tamu maksimal 2000 orang".</t>
        </is>
      </c>
      <c r="I19" s="7" t="inlineStr">
        <is>
          <t>Lulus</t>
        </is>
      </c>
      <c r="J19" s="7" t="inlineStr">
        <is>
          <t>2026-10-02</t>
        </is>
      </c>
      <c r="K19" s="4" t="inlineStr">
        <is>
          <t>(isi nama)</t>
        </is>
      </c>
      <c r="L19" s="11" t="inlineStr">
        <is>
          <t>https://github.com/bagassfernanda/wedlify/blob/main/docs/modul3/bukti/TC-EP-06.png</t>
        </is>
      </c>
      <c r="M19" s="7" t="inlineStr"/>
      <c r="N19" s="7" t="inlineStr"/>
    </row>
    <row r="20">
      <c r="A20" s="3" t="inlineStr">
        <is>
          <t>TC-EP-07</t>
        </is>
      </c>
      <c r="B20" s="7" t="inlineStr">
        <is>
          <t>REQ-015, BR-31, BR-33, TCD-037: cetak tambahan 0 sampai 500 lembar, Rp 3.000 per lembar</t>
        </is>
      </c>
      <c r="C20" s="7" t="inlineStr">
        <is>
          <t>EP Weak Robust: P4, cetak &gt; 500 (Input tidak valid: di atas batas atas)</t>
        </is>
      </c>
      <c r="D20" s="7" t="inlineStr">
        <is>
          <t>Sudah login sebagai pelanggan.uji@mail.com. Pesanan berstatus Menunggu Pembayaran kurang dari 3 (pesanan hasil kasus sebelumnya sudah dibatalkan).</t>
        </is>
      </c>
      <c r="E20" s="7" t="inlineStr">
        <is>
          <t>Jumlah Tamu = 300; Cetak Tambahan = 600; Paket = Standard</t>
        </is>
      </c>
      <c r="F20" s="7" t="inlineStr">
        <is>
          <t>1. Buka Pesanan Saya lalu tekan Buat Pesanan.
2. Isi Nama Pengantin Wanita Sarah dan Nama Pengantin Pria James.
3. Isi Tanggal Pernikahan 2026-11-01 dan Lokasi Grand Ballroom, Hotel Mulia.
4. Pilih Tema Elegant Gold dan Paket Standard.
5. Isi Jumlah Tamu 300 dan Cetak Tambahan 600.
6. Tekan Buat Pesanan.</t>
        </is>
      </c>
      <c r="G20" s="7" t="inlineStr">
        <is>
          <t>Pesanan tidak tersimpan dan halaman tetap di form Buat Pesanan. Di bawah field Cetak Tambahan tampil pesan "Cetak tambahan maksimal 500 lembar".</t>
        </is>
      </c>
      <c r="H20" s="7" t="inlineStr">
        <is>
          <t>Pesanan tidak tersimpan dan halaman tetap di form. Pesan yang tampil pada Cetak Tambahan: "Cetak tambahan maksimal 500 lembar".</t>
        </is>
      </c>
      <c r="I20" s="7" t="inlineStr">
        <is>
          <t>Lulus</t>
        </is>
      </c>
      <c r="J20" s="7" t="inlineStr">
        <is>
          <t>2026-10-02</t>
        </is>
      </c>
      <c r="K20" s="4" t="inlineStr">
        <is>
          <t>(isi nama)</t>
        </is>
      </c>
      <c r="L20" s="11" t="inlineStr">
        <is>
          <t>https://github.com/bagassfernanda/wedlify/blob/main/docs/modul3/bukti/TC-EP-07.png</t>
        </is>
      </c>
      <c r="M20" s="7" t="inlineStr"/>
      <c r="N20" s="7" t="inlineStr"/>
    </row>
    <row r="21">
      <c r="A21" s="3" t="inlineStr">
        <is>
          <t>TC-EP-08</t>
        </is>
      </c>
      <c r="B21" s="7" t="inlineStr">
        <is>
          <t>REQ-010, BR-22, TCD-025: jumlah tamu 10 sampai 2000, bilangan bulat</t>
        </is>
      </c>
      <c r="C21" s="7" t="inlineStr">
        <is>
          <t>EP Weak Robust: P5, tamu pecahan (Input tidak valid: bukan bilangan bulat)</t>
        </is>
      </c>
      <c r="D21" s="7" t="inlineStr">
        <is>
          <t>Sudah login sebagai pelanggan.uji@mail.com. Pesanan berstatus Menunggu Pembayaran kurang dari 3 (pesanan hasil kasus sebelumnya sudah dibatalkan).</t>
        </is>
      </c>
      <c r="E21" s="7" t="inlineStr">
        <is>
          <t>Jumlah Tamu = 100.5; Cetak Tambahan = 100; Paket = Standard</t>
        </is>
      </c>
      <c r="F21" s="7" t="inlineStr">
        <is>
          <t>1. Buka Pesanan Saya lalu tekan Buat Pesanan.
2. Isi Nama Pengantin Wanita Sarah dan Nama Pengantin Pria James.
3. Isi Tanggal Pernikahan 2026-11-01 dan Lokasi Grand Ballroom, Hotel Mulia.
4. Pilih Tema Elegant Gold dan Paket Standard.
5. Isi Jumlah Tamu 100.5 dan Cetak Tambahan 100.
6. Tekan Buat Pesanan.</t>
        </is>
      </c>
      <c r="G21" s="7" t="inlineStr">
        <is>
          <t>Pesanan tidak tersimpan dan halaman tetap di form Buat Pesanan. Di bawah field Jumlah Tamu tampil pesan "Jumlah tamu harus bilangan bulat".</t>
        </is>
      </c>
      <c r="H21" s="7" t="inlineStr">
        <is>
          <t>Pesanan tidak tersimpan dan halaman tetap di form. Pesan yang tampil pada Jumlah Tamu: "Jumlah tamu harus bilangan bulat".</t>
        </is>
      </c>
      <c r="I21" s="7" t="inlineStr">
        <is>
          <t>Lulus</t>
        </is>
      </c>
      <c r="J21" s="7" t="inlineStr">
        <is>
          <t>2026-10-02</t>
        </is>
      </c>
      <c r="K21" s="4" t="inlineStr">
        <is>
          <t>(isi nama)</t>
        </is>
      </c>
      <c r="L21" s="11" t="inlineStr">
        <is>
          <t>https://github.com/bagassfernanda/wedlify/blob/main/docs/modul3/bukti/TC-EP-08.png</t>
        </is>
      </c>
      <c r="M21" s="7" t="inlineStr"/>
      <c r="N21" s="7" t="inlineStr"/>
    </row>
    <row r="22">
      <c r="A22" s="3" t="inlineStr">
        <is>
          <t>TC-EP-09</t>
        </is>
      </c>
      <c r="B22" s="7" t="inlineStr">
        <is>
          <t>REQ-015, BR-31, BR-33, TCD-037: cetak tambahan 0 sampai 500 lembar, Rp 3.000 per lembar</t>
        </is>
      </c>
      <c r="C22" s="7" t="inlineStr">
        <is>
          <t>EP Weak Robust: P5, cetak pecahan (Input tidak valid: bukan bilangan bulat)</t>
        </is>
      </c>
      <c r="D22" s="7" t="inlineStr">
        <is>
          <t>Sudah login sebagai pelanggan.uji@mail.com. Pesanan berstatus Menunggu Pembayaran kurang dari 3 (pesanan hasil kasus sebelumnya sudah dibatalkan).</t>
        </is>
      </c>
      <c r="E22" s="7" t="inlineStr">
        <is>
          <t>Jumlah Tamu = 300; Cetak Tambahan = 2.5; Paket = Standard</t>
        </is>
      </c>
      <c r="F22" s="7" t="inlineStr">
        <is>
          <t>1. Buka Pesanan Saya lalu tekan Buat Pesanan.
2. Isi Nama Pengantin Wanita Sarah dan Nama Pengantin Pria James.
3. Isi Tanggal Pernikahan 2026-11-01 dan Lokasi Grand Ballroom, Hotel Mulia.
4. Pilih Tema Elegant Gold dan Paket Standard.
5. Isi Jumlah Tamu 300 dan Cetak Tambahan 2.5.
6. Tekan Buat Pesanan.</t>
        </is>
      </c>
      <c r="G22" s="7" t="inlineStr">
        <is>
          <t>Pesanan tidak tersimpan dan halaman tetap di form Buat Pesanan. Di bawah field Cetak Tambahan tampil pesan "Cetak tambahan harus bilangan bulat".</t>
        </is>
      </c>
      <c r="H22" s="7" t="inlineStr">
        <is>
          <t>Pesanan tidak tersimpan dan halaman tetap di form. Pesan yang tampil pada Cetak Tambahan: "Cetak tambahan harus bilangan bulat".</t>
        </is>
      </c>
      <c r="I22" s="7" t="inlineStr">
        <is>
          <t>Lulus</t>
        </is>
      </c>
      <c r="J22" s="7" t="inlineStr">
        <is>
          <t>2026-10-02</t>
        </is>
      </c>
      <c r="K22" s="4" t="inlineStr">
        <is>
          <t>(isi nama)</t>
        </is>
      </c>
      <c r="L22" s="11" t="inlineStr">
        <is>
          <t>https://github.com/bagassfernanda/wedlify/blob/main/docs/modul3/bukti/TC-EP-09.png</t>
        </is>
      </c>
      <c r="M22" s="7" t="inlineStr"/>
      <c r="N22" s="7" t="inlineStr"/>
    </row>
    <row r="24">
      <c r="H24" s="3" t="inlineStr">
        <is>
          <t>Jumlah test case</t>
        </is>
      </c>
      <c r="I24" s="7">
        <f>COUNTA(A5:A22)</f>
        <v>18</v>
      </c>
    </row>
    <row r="25">
      <c r="H25" s="3" t="inlineStr">
        <is>
          <t>Lulus</t>
        </is>
      </c>
      <c r="I25" s="7">
        <f>COUNTIF(I5:I22,"Lulus")</f>
        <v>18</v>
      </c>
    </row>
    <row r="26">
      <c r="H26" s="3" t="inlineStr">
        <is>
          <t>Gagal</t>
        </is>
      </c>
      <c r="I26" s="7">
        <f>COUNTIF(I5:I22,"Gagal")</f>
        <v>0</v>
      </c>
    </row>
    <row r="27">
      <c r="H27" s="3" t="inlineStr">
        <is>
          <t>Terblokir</t>
        </is>
      </c>
      <c r="I27" s="7">
        <f>COUNTIF(I5:I22,"Terblokir")</f>
        <v>0</v>
      </c>
    </row>
  </sheetData>
  <mergeCells count="1">
    <mergeCell ref="A2:H2"/>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9"/>
  <sheetViews>
    <sheetView workbookViewId="0">
      <pane ySplit="4" topLeftCell="A5" activePane="bottomLeft" state="frozen"/>
      <selection pane="bottomLeft" activeCell="A1" sqref="A1"/>
    </sheetView>
  </sheetViews>
  <sheetFormatPr baseColWidth="8" defaultRowHeight="15"/>
  <cols>
    <col width="14" customWidth="1" min="1" max="1"/>
    <col width="16" customWidth="1" min="2" max="2"/>
    <col width="48" customWidth="1" min="3" max="3"/>
    <col width="44" customWidth="1" min="4" max="4"/>
    <col width="14" customWidth="1" min="5" max="5"/>
    <col width="16" customWidth="1" min="6" max="6"/>
    <col width="12" customWidth="1" min="7" max="7"/>
  </cols>
  <sheetData>
    <row r="1">
      <c r="A1" s="1" t="inlineStr">
        <is>
          <t>05_Traceability: Aturan ke Test Case, Status, dan Incident</t>
        </is>
      </c>
    </row>
    <row r="2" ht="30" customHeight="1">
      <c r="A2" s="2" t="inlineStr">
        <is>
          <t>Status diambil dari sheet 04 berdasarkan Test Case ID, sehingga ikut berubah bila hasil eksekusi diperbarui.</t>
        </is>
      </c>
    </row>
    <row r="4">
      <c r="A4" s="9" t="inlineStr">
        <is>
          <t>Requirement</t>
        </is>
      </c>
      <c r="B4" s="9" t="inlineStr">
        <is>
          <t>Aturan bisnis</t>
        </is>
      </c>
      <c r="C4" s="9" t="inlineStr">
        <is>
          <t>Test Condition (Modul 2)</t>
        </is>
      </c>
      <c r="D4" s="9" t="inlineStr">
        <is>
          <t>Coverage Item</t>
        </is>
      </c>
      <c r="E4" s="9" t="inlineStr">
        <is>
          <t>Test Case ID</t>
        </is>
      </c>
      <c r="F4" s="9" t="inlineStr">
        <is>
          <t>Status eksekusi</t>
        </is>
      </c>
      <c r="G4" s="9" t="inlineStr">
        <is>
          <t>Incident ID</t>
        </is>
      </c>
    </row>
    <row r="5">
      <c r="A5" s="7" t="inlineStr">
        <is>
          <t>REQ-010</t>
        </is>
      </c>
      <c r="B5" s="7" t="inlineStr">
        <is>
          <t>BR-22</t>
        </is>
      </c>
      <c r="C5" s="7" t="inlineStr">
        <is>
          <t>TCD-025 Jumlah tamu di batas dan di luar batas</t>
        </is>
      </c>
      <c r="D5" s="7" t="inlineStr">
        <is>
          <t>CI-025 Field jumlah tamu</t>
        </is>
      </c>
      <c r="E5" s="3" t="inlineStr">
        <is>
          <t>TC-BVA-01</t>
        </is>
      </c>
      <c r="F5" s="7" t="str">
        <f>INDEX('04_Rancangan_dan_Eksekusi'!$I$5:$I$22,MATCH(E5,'04_Rancangan_dan_Eksekusi'!$A$5:$A$22,0))</f>
        <v>Lulus</v>
      </c>
      <c r="G5" s="7" t="inlineStr"/>
    </row>
    <row r="6">
      <c r="A6" s="7" t="inlineStr">
        <is>
          <t>REQ-010</t>
        </is>
      </c>
      <c r="B6" s="7" t="inlineStr">
        <is>
          <t>BR-22</t>
        </is>
      </c>
      <c r="C6" s="7" t="inlineStr">
        <is>
          <t>TCD-025 Jumlah tamu di batas dan di luar batas</t>
        </is>
      </c>
      <c r="D6" s="7" t="inlineStr">
        <is>
          <t>CI-025 Field jumlah tamu</t>
        </is>
      </c>
      <c r="E6" s="3" t="inlineStr">
        <is>
          <t>TC-BVA-02</t>
        </is>
      </c>
      <c r="F6" s="7" t="str">
        <f>INDEX('04_Rancangan_dan_Eksekusi'!$I$5:$I$22,MATCH(E6,'04_Rancangan_dan_Eksekusi'!$A$5:$A$22,0))</f>
        <v>Lulus</v>
      </c>
      <c r="G6" s="7" t="inlineStr"/>
    </row>
    <row r="7">
      <c r="A7" s="7" t="inlineStr">
        <is>
          <t>REQ-010</t>
        </is>
      </c>
      <c r="B7" s="7" t="inlineStr">
        <is>
          <t>BR-22</t>
        </is>
      </c>
      <c r="C7" s="7" t="inlineStr">
        <is>
          <t>TCD-025 Jumlah tamu di batas dan di luar batas</t>
        </is>
      </c>
      <c r="D7" s="7" t="inlineStr">
        <is>
          <t>CI-025 Field jumlah tamu</t>
        </is>
      </c>
      <c r="E7" s="3" t="inlineStr">
        <is>
          <t>TC-BVA-03</t>
        </is>
      </c>
      <c r="F7" s="7" t="str">
        <f>INDEX('04_Rancangan_dan_Eksekusi'!$I$5:$I$22,MATCH(E7,'04_Rancangan_dan_Eksekusi'!$A$5:$A$22,0))</f>
        <v>Lulus</v>
      </c>
      <c r="G7" s="7" t="inlineStr"/>
    </row>
    <row r="8">
      <c r="A8" s="7" t="inlineStr">
        <is>
          <t>REQ-010</t>
        </is>
      </c>
      <c r="B8" s="7" t="inlineStr">
        <is>
          <t>BR-22</t>
        </is>
      </c>
      <c r="C8" s="7" t="inlineStr">
        <is>
          <t>TCD-025 Jumlah tamu di batas dan di luar batas</t>
        </is>
      </c>
      <c r="D8" s="7" t="inlineStr">
        <is>
          <t>CI-025 Field jumlah tamu</t>
        </is>
      </c>
      <c r="E8" s="3" t="inlineStr">
        <is>
          <t>TC-BVA-04</t>
        </is>
      </c>
      <c r="F8" s="7" t="str">
        <f>INDEX('04_Rancangan_dan_Eksekusi'!$I$5:$I$22,MATCH(E8,'04_Rancangan_dan_Eksekusi'!$A$5:$A$22,0))</f>
        <v>Lulus</v>
      </c>
      <c r="G8" s="7" t="inlineStr"/>
    </row>
    <row r="9">
      <c r="A9" s="7" t="inlineStr">
        <is>
          <t>REQ-010</t>
        </is>
      </c>
      <c r="B9" s="7" t="inlineStr">
        <is>
          <t>BR-22</t>
        </is>
      </c>
      <c r="C9" s="7" t="inlineStr">
        <is>
          <t>TCD-025 Jumlah tamu di batas dan di luar batas</t>
        </is>
      </c>
      <c r="D9" s="7" t="inlineStr">
        <is>
          <t>CI-025 Field jumlah tamu</t>
        </is>
      </c>
      <c r="E9" s="3" t="inlineStr">
        <is>
          <t>TC-BVA-09</t>
        </is>
      </c>
      <c r="F9" s="7" t="str">
        <f>INDEX('04_Rancangan_dan_Eksekusi'!$I$5:$I$22,MATCH(E9,'04_Rancangan_dan_Eksekusi'!$A$5:$A$22,0))</f>
        <v>Lulus</v>
      </c>
      <c r="G9" s="7" t="inlineStr"/>
    </row>
    <row r="10">
      <c r="A10" s="7" t="inlineStr">
        <is>
          <t>REQ-010</t>
        </is>
      </c>
      <c r="B10" s="7" t="inlineStr">
        <is>
          <t>BR-22</t>
        </is>
      </c>
      <c r="C10" s="7" t="inlineStr">
        <is>
          <t>TCD-025 Jumlah tamu di batas dan di luar batas</t>
        </is>
      </c>
      <c r="D10" s="7" t="inlineStr">
        <is>
          <t>CI-025 Field jumlah tamu</t>
        </is>
      </c>
      <c r="E10" s="3" t="inlineStr">
        <is>
          <t>TC-EP-04</t>
        </is>
      </c>
      <c r="F10" s="7" t="str">
        <f>INDEX('04_Rancangan_dan_Eksekusi'!$I$5:$I$22,MATCH(E10,'04_Rancangan_dan_Eksekusi'!$A$5:$A$22,0))</f>
        <v>Lulus</v>
      </c>
      <c r="G10" s="7" t="inlineStr"/>
    </row>
    <row r="11">
      <c r="A11" s="7" t="inlineStr">
        <is>
          <t>REQ-010</t>
        </is>
      </c>
      <c r="B11" s="7" t="inlineStr">
        <is>
          <t>BR-22</t>
        </is>
      </c>
      <c r="C11" s="7" t="inlineStr">
        <is>
          <t>TCD-025 Jumlah tamu di batas dan di luar batas</t>
        </is>
      </c>
      <c r="D11" s="7" t="inlineStr">
        <is>
          <t>CI-025 Field jumlah tamu</t>
        </is>
      </c>
      <c r="E11" s="3" t="inlineStr">
        <is>
          <t>TC-EP-06</t>
        </is>
      </c>
      <c r="F11" s="7" t="str">
        <f>INDEX('04_Rancangan_dan_Eksekusi'!$I$5:$I$22,MATCH(E11,'04_Rancangan_dan_Eksekusi'!$A$5:$A$22,0))</f>
        <v>Lulus</v>
      </c>
      <c r="G11" s="7" t="inlineStr"/>
    </row>
    <row r="12">
      <c r="A12" s="7" t="inlineStr">
        <is>
          <t>REQ-010</t>
        </is>
      </c>
      <c r="B12" s="7" t="inlineStr">
        <is>
          <t>BR-22</t>
        </is>
      </c>
      <c r="C12" s="7" t="inlineStr">
        <is>
          <t>TCD-025 Jumlah tamu di batas dan di luar batas</t>
        </is>
      </c>
      <c r="D12" s="7" t="inlineStr">
        <is>
          <t>CI-025 Field jumlah tamu</t>
        </is>
      </c>
      <c r="E12" s="3" t="inlineStr">
        <is>
          <t>TC-EP-08</t>
        </is>
      </c>
      <c r="F12" s="7" t="str">
        <f>INDEX('04_Rancangan_dan_Eksekusi'!$I$5:$I$22,MATCH(E12,'04_Rancangan_dan_Eksekusi'!$A$5:$A$22,0))</f>
        <v>Lulus</v>
      </c>
      <c r="G12" s="7" t="inlineStr"/>
    </row>
    <row r="13">
      <c r="A13" s="7" t="inlineStr">
        <is>
          <t>REQ-015</t>
        </is>
      </c>
      <c r="B13" s="7" t="inlineStr">
        <is>
          <t>BR-31, BR-33</t>
        </is>
      </c>
      <c r="C13" s="7" t="inlineStr">
        <is>
          <t>TCD-037 Cetak tambahan di batas dan di luar batas</t>
        </is>
      </c>
      <c r="D13" s="7" t="inlineStr">
        <is>
          <t>CI-037 Field cetak tambahan dan biaya cetak</t>
        </is>
      </c>
      <c r="E13" s="3" t="inlineStr">
        <is>
          <t>TC-BVA-05</t>
        </is>
      </c>
      <c r="F13" s="7" t="str">
        <f>INDEX('04_Rancangan_dan_Eksekusi'!$I$5:$I$22,MATCH(E13,'04_Rancangan_dan_Eksekusi'!$A$5:$A$22,0))</f>
        <v>Lulus</v>
      </c>
      <c r="G13" s="7" t="inlineStr"/>
    </row>
    <row r="14">
      <c r="A14" s="7" t="inlineStr">
        <is>
          <t>REQ-015</t>
        </is>
      </c>
      <c r="B14" s="7" t="inlineStr">
        <is>
          <t>BR-31, BR-33</t>
        </is>
      </c>
      <c r="C14" s="7" t="inlineStr">
        <is>
          <t>TCD-037 Cetak tambahan di batas dan di luar batas</t>
        </is>
      </c>
      <c r="D14" s="7" t="inlineStr">
        <is>
          <t>CI-037 Field cetak tambahan dan biaya cetak</t>
        </is>
      </c>
      <c r="E14" s="3" t="inlineStr">
        <is>
          <t>TC-BVA-06</t>
        </is>
      </c>
      <c r="F14" s="7" t="str">
        <f>INDEX('04_Rancangan_dan_Eksekusi'!$I$5:$I$22,MATCH(E14,'04_Rancangan_dan_Eksekusi'!$A$5:$A$22,0))</f>
        <v>Lulus</v>
      </c>
      <c r="G14" s="7" t="inlineStr"/>
    </row>
    <row r="15">
      <c r="A15" s="7" t="inlineStr">
        <is>
          <t>REQ-015</t>
        </is>
      </c>
      <c r="B15" s="7" t="inlineStr">
        <is>
          <t>BR-31, BR-33</t>
        </is>
      </c>
      <c r="C15" s="7" t="inlineStr">
        <is>
          <t>TCD-037 Cetak tambahan di batas dan di luar batas</t>
        </is>
      </c>
      <c r="D15" s="7" t="inlineStr">
        <is>
          <t>CI-037 Field cetak tambahan dan biaya cetak</t>
        </is>
      </c>
      <c r="E15" s="3" t="inlineStr">
        <is>
          <t>TC-BVA-07</t>
        </is>
      </c>
      <c r="F15" s="7" t="str">
        <f>INDEX('04_Rancangan_dan_Eksekusi'!$I$5:$I$22,MATCH(E15,'04_Rancangan_dan_Eksekusi'!$A$5:$A$22,0))</f>
        <v>Lulus</v>
      </c>
      <c r="G15" s="7" t="inlineStr"/>
    </row>
    <row r="16">
      <c r="A16" s="7" t="inlineStr">
        <is>
          <t>REQ-015</t>
        </is>
      </c>
      <c r="B16" s="7" t="inlineStr">
        <is>
          <t>BR-31, BR-33</t>
        </is>
      </c>
      <c r="C16" s="7" t="inlineStr">
        <is>
          <t>TCD-037 Cetak tambahan di batas dan di luar batas</t>
        </is>
      </c>
      <c r="D16" s="7" t="inlineStr">
        <is>
          <t>CI-037 Field cetak tambahan dan biaya cetak</t>
        </is>
      </c>
      <c r="E16" s="3" t="inlineStr">
        <is>
          <t>TC-BVA-08</t>
        </is>
      </c>
      <c r="F16" s="7" t="str">
        <f>INDEX('04_Rancangan_dan_Eksekusi'!$I$5:$I$22,MATCH(E16,'04_Rancangan_dan_Eksekusi'!$A$5:$A$22,0))</f>
        <v>Lulus</v>
      </c>
      <c r="G16" s="7" t="inlineStr"/>
    </row>
    <row r="17">
      <c r="A17" s="7" t="inlineStr">
        <is>
          <t>REQ-015</t>
        </is>
      </c>
      <c r="B17" s="7" t="inlineStr">
        <is>
          <t>BR-31, BR-33</t>
        </is>
      </c>
      <c r="C17" s="7" t="inlineStr">
        <is>
          <t>TCD-037 Cetak tambahan di batas dan di luar batas</t>
        </is>
      </c>
      <c r="D17" s="7" t="inlineStr">
        <is>
          <t>CI-037 Field cetak tambahan dan biaya cetak</t>
        </is>
      </c>
      <c r="E17" s="3" t="inlineStr">
        <is>
          <t>TC-BVA-09</t>
        </is>
      </c>
      <c r="F17" s="7" t="str">
        <f>INDEX('04_Rancangan_dan_Eksekusi'!$I$5:$I$22,MATCH(E17,'04_Rancangan_dan_Eksekusi'!$A$5:$A$22,0))</f>
        <v>Lulus</v>
      </c>
      <c r="G17" s="7" t="inlineStr"/>
    </row>
    <row r="18">
      <c r="A18" s="7" t="inlineStr">
        <is>
          <t>REQ-015</t>
        </is>
      </c>
      <c r="B18" s="7" t="inlineStr">
        <is>
          <t>BR-31, BR-33</t>
        </is>
      </c>
      <c r="C18" s="7" t="inlineStr">
        <is>
          <t>TCD-037 Cetak tambahan di batas dan di luar batas</t>
        </is>
      </c>
      <c r="D18" s="7" t="inlineStr">
        <is>
          <t>CI-037 Field cetak tambahan dan biaya cetak</t>
        </is>
      </c>
      <c r="E18" s="3" t="inlineStr">
        <is>
          <t>TC-EP-01</t>
        </is>
      </c>
      <c r="F18" s="7" t="str">
        <f>INDEX('04_Rancangan_dan_Eksekusi'!$I$5:$I$22,MATCH(E18,'04_Rancangan_dan_Eksekusi'!$A$5:$A$22,0))</f>
        <v>Lulus</v>
      </c>
      <c r="G18" s="7" t="inlineStr"/>
    </row>
    <row r="19">
      <c r="A19" s="7" t="inlineStr">
        <is>
          <t>REQ-015</t>
        </is>
      </c>
      <c r="B19" s="7" t="inlineStr">
        <is>
          <t>BR-31, BR-33</t>
        </is>
      </c>
      <c r="C19" s="7" t="inlineStr">
        <is>
          <t>TCD-037 Cetak tambahan di batas dan di luar batas</t>
        </is>
      </c>
      <c r="D19" s="7" t="inlineStr">
        <is>
          <t>CI-037 Field cetak tambahan dan biaya cetak</t>
        </is>
      </c>
      <c r="E19" s="3" t="inlineStr">
        <is>
          <t>TC-EP-02</t>
        </is>
      </c>
      <c r="F19" s="7" t="str">
        <f>INDEX('04_Rancangan_dan_Eksekusi'!$I$5:$I$22,MATCH(E19,'04_Rancangan_dan_Eksekusi'!$A$5:$A$22,0))</f>
        <v>Lulus</v>
      </c>
      <c r="G19" s="7" t="inlineStr"/>
    </row>
    <row r="20">
      <c r="A20" s="7" t="inlineStr">
        <is>
          <t>REQ-015</t>
        </is>
      </c>
      <c r="B20" s="7" t="inlineStr">
        <is>
          <t>BR-31, BR-33</t>
        </is>
      </c>
      <c r="C20" s="7" t="inlineStr">
        <is>
          <t>TCD-037 Cetak tambahan di batas dan di luar batas</t>
        </is>
      </c>
      <c r="D20" s="7" t="inlineStr">
        <is>
          <t>CI-037 Field cetak tambahan dan biaya cetak</t>
        </is>
      </c>
      <c r="E20" s="3" t="inlineStr">
        <is>
          <t>TC-EP-05</t>
        </is>
      </c>
      <c r="F20" s="7" t="str">
        <f>INDEX('04_Rancangan_dan_Eksekusi'!$I$5:$I$22,MATCH(E20,'04_Rancangan_dan_Eksekusi'!$A$5:$A$22,0))</f>
        <v>Lulus</v>
      </c>
      <c r="G20" s="7" t="inlineStr"/>
    </row>
    <row r="21">
      <c r="A21" s="7" t="inlineStr">
        <is>
          <t>REQ-015</t>
        </is>
      </c>
      <c r="B21" s="7" t="inlineStr">
        <is>
          <t>BR-31, BR-33</t>
        </is>
      </c>
      <c r="C21" s="7" t="inlineStr">
        <is>
          <t>TCD-037 Cetak tambahan di batas dan di luar batas</t>
        </is>
      </c>
      <c r="D21" s="7" t="inlineStr">
        <is>
          <t>CI-037 Field cetak tambahan dan biaya cetak</t>
        </is>
      </c>
      <c r="E21" s="3" t="inlineStr">
        <is>
          <t>TC-EP-07</t>
        </is>
      </c>
      <c r="F21" s="7" t="str">
        <f>INDEX('04_Rancangan_dan_Eksekusi'!$I$5:$I$22,MATCH(E21,'04_Rancangan_dan_Eksekusi'!$A$5:$A$22,0))</f>
        <v>Lulus</v>
      </c>
      <c r="G21" s="7" t="inlineStr"/>
    </row>
    <row r="22">
      <c r="A22" s="7" t="inlineStr">
        <is>
          <t>REQ-015</t>
        </is>
      </c>
      <c r="B22" s="7" t="inlineStr">
        <is>
          <t>BR-31, BR-33</t>
        </is>
      </c>
      <c r="C22" s="7" t="inlineStr">
        <is>
          <t>TCD-037 Cetak tambahan di batas dan di luar batas</t>
        </is>
      </c>
      <c r="D22" s="7" t="inlineStr">
        <is>
          <t>CI-037 Field cetak tambahan dan biaya cetak</t>
        </is>
      </c>
      <c r="E22" s="3" t="inlineStr">
        <is>
          <t>TC-EP-09</t>
        </is>
      </c>
      <c r="F22" s="7" t="str">
        <f>INDEX('04_Rancangan_dan_Eksekusi'!$I$5:$I$22,MATCH(E22,'04_Rancangan_dan_Eksekusi'!$A$5:$A$22,0))</f>
        <v>Lulus</v>
      </c>
      <c r="G22" s="7" t="inlineStr"/>
    </row>
    <row r="23">
      <c r="A23" s="7" t="inlineStr">
        <is>
          <t>REQ-016</t>
        </is>
      </c>
      <c r="B23" s="7" t="inlineStr">
        <is>
          <t>BR-32</t>
        </is>
      </c>
      <c r="C23" s="7" t="inlineStr">
        <is>
          <t>TCD-038 Paket Basic dengan cetak tambahan</t>
        </is>
      </c>
      <c r="D23" s="7" t="inlineStr">
        <is>
          <t>CI-038 Aturan cetak tambahan per paket</t>
        </is>
      </c>
      <c r="E23" s="3" t="inlineStr">
        <is>
          <t>TC-EP-03</t>
        </is>
      </c>
      <c r="F23" s="7" t="str">
        <f>INDEX('04_Rancangan_dan_Eksekusi'!$I$5:$I$22,MATCH(E23,'04_Rancangan_dan_Eksekusi'!$A$5:$A$22,0))</f>
        <v>Lulus</v>
      </c>
      <c r="G23" s="7" t="inlineStr"/>
    </row>
    <row r="24">
      <c r="A24" s="7" t="inlineStr">
        <is>
          <t>REQ-009</t>
        </is>
      </c>
      <c r="B24" s="7" t="inlineStr">
        <is>
          <t>BR-26, BR-40</t>
        </is>
      </c>
      <c r="C24" s="7" t="inlineStr">
        <is>
          <t>TCD-022 Data pesanan valid</t>
        </is>
      </c>
      <c r="D24" s="7" t="inlineStr">
        <is>
          <t>CI-022 Form buat pesanan, nomor, dan status awal</t>
        </is>
      </c>
      <c r="E24" s="3" t="inlineStr">
        <is>
          <t>TC-BVA-09</t>
        </is>
      </c>
      <c r="F24" s="7" t="str">
        <f>INDEX('04_Rancangan_dan_Eksekusi'!$I$5:$I$22,MATCH(E24,'04_Rancangan_dan_Eksekusi'!$A$5:$A$22,0))</f>
        <v>Lulus</v>
      </c>
      <c r="G24" s="7" t="inlineStr"/>
    </row>
    <row r="25">
      <c r="A25" s="7" t="inlineStr">
        <is>
          <t>REQ-009</t>
        </is>
      </c>
      <c r="B25" s="7" t="inlineStr">
        <is>
          <t>BR-26, BR-40</t>
        </is>
      </c>
      <c r="C25" s="7" t="inlineStr">
        <is>
          <t>TCD-022 Data pesanan valid</t>
        </is>
      </c>
      <c r="D25" s="7" t="inlineStr">
        <is>
          <t>CI-022 Form buat pesanan, nomor, dan status awal</t>
        </is>
      </c>
      <c r="E25" s="3" t="inlineStr">
        <is>
          <t>TC-EP-01</t>
        </is>
      </c>
      <c r="F25" s="7" t="str">
        <f>INDEX('04_Rancangan_dan_Eksekusi'!$I$5:$I$22,MATCH(E25,'04_Rancangan_dan_Eksekusi'!$A$5:$A$22,0))</f>
        <v>Lulus</v>
      </c>
      <c r="G25" s="7" t="inlineStr"/>
    </row>
    <row r="26">
      <c r="A26" s="7" t="inlineStr">
        <is>
          <t>REQ-015</t>
        </is>
      </c>
      <c r="B26" s="7" t="inlineStr">
        <is>
          <t>BR-33</t>
        </is>
      </c>
      <c r="C26" s="7" t="inlineStr">
        <is>
          <t>Panel Rincian Harga saat paket sudah dipilih (pengamatan saat eksekusi)</t>
        </is>
      </c>
      <c r="D26" s="7" t="inlineStr">
        <is>
          <t>Panel Rincian Harga</t>
        </is>
      </c>
      <c r="E26" s="3" t="inlineStr">
        <is>
          <t>TC-EP-04</t>
        </is>
      </c>
      <c r="F26" s="7" t="str">
        <f>INDEX('04_Rancangan_dan_Eksekusi'!$I$5:$I$22,MATCH(E26,'04_Rancangan_dan_Eksekusi'!$A$5:$A$22,0))</f>
        <v>Lulus</v>
      </c>
      <c r="G26" s="7" t="inlineStr">
        <is>
          <t>INC-001</t>
        </is>
      </c>
    </row>
    <row r="28">
      <c r="E28" s="3" t="inlineStr">
        <is>
          <t>Baris tertaut</t>
        </is>
      </c>
      <c r="F28" s="7">
        <f>COUNTA(E5:E26)</f>
        <v>22</v>
      </c>
    </row>
    <row r="29">
      <c r="E29" s="3" t="inlineStr">
        <is>
          <t>Baris berstatus Lulus</t>
        </is>
      </c>
      <c r="F29" s="7">
        <f>COUNTIF(F5:F26,"Lulus")</f>
        <v>22</v>
      </c>
    </row>
  </sheetData>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2" customWidth="1" min="1" max="1"/>
    <col width="26" customWidth="1" min="2" max="2"/>
    <col width="60" customWidth="1" min="3" max="3"/>
    <col width="16" customWidth="1" min="4" max="4"/>
    <col width="12" customWidth="1" min="5" max="5"/>
    <col width="12" customWidth="1" min="6" max="6"/>
    <col width="44" customWidth="1" min="7" max="7"/>
    <col width="44" customWidth="1" min="8" max="8"/>
  </cols>
  <sheetData>
    <row r="1">
      <c r="A1" s="1" t="inlineStr">
        <is>
          <t>06_Indeks_Incident: Daftar Incident</t>
        </is>
      </c>
    </row>
    <row r="2" ht="30" customHeight="1">
      <c r="A2" s="2" t="inlineStr">
        <is>
          <t>Satu baris untuk setiap cacat yang teramati. Laporan lengkap ada pada tautan.</t>
        </is>
      </c>
    </row>
    <row r="4">
      <c r="A4" s="9" t="inlineStr">
        <is>
          <t>Incident ID</t>
        </is>
      </c>
      <c r="B4" s="9" t="inlineStr">
        <is>
          <t>Test Case terkait</t>
        </is>
      </c>
      <c r="C4" s="9" t="inlineStr">
        <is>
          <t>Ringkasan</t>
        </is>
      </c>
      <c r="D4" s="9" t="inlineStr">
        <is>
          <t>Test basis</t>
        </is>
      </c>
      <c r="E4" s="9" t="inlineStr">
        <is>
          <t>Severity</t>
        </is>
      </c>
      <c r="F4" s="9" t="inlineStr">
        <is>
          <t>Status</t>
        </is>
      </c>
      <c r="G4" s="9" t="inlineStr">
        <is>
          <t>Laporan</t>
        </is>
      </c>
      <c r="H4" s="9" t="inlineStr">
        <is>
          <t>Bukti</t>
        </is>
      </c>
    </row>
    <row r="5">
      <c r="A5" s="3" t="inlineStr">
        <is>
          <t>INC-001</t>
        </is>
      </c>
      <c r="B5" s="7" t="inlineStr">
        <is>
          <t>TC-EP-04 (teramati saat eksekusi)</t>
        </is>
      </c>
      <c r="C5" s="7" t="inlineStr">
        <is>
          <t>Panel Rincian Harga tetap menampilkan "Pilih paket untuk melihat rincian harga." setelah paket dipilih, selama hasil hitung harga belum diterima dari server.</t>
        </is>
      </c>
      <c r="D5" s="7" t="inlineStr">
        <is>
          <t>REQ-015, BR-33</t>
        </is>
      </c>
      <c r="E5" s="7" t="inlineStr">
        <is>
          <t>Rendah</t>
        </is>
      </c>
      <c r="F5" s="7" t="inlineStr">
        <is>
          <t>Terbuka</t>
        </is>
      </c>
      <c r="G5" s="11" t="inlineStr">
        <is>
          <t>https://github.com/bagassfernanda/wedlify/blob/main/docs/modul3/INC-001.md</t>
        </is>
      </c>
      <c r="H5" s="11" t="inlineStr">
        <is>
          <t>https://github.com/bagassfernanda/wedlify/blob/main/docs/modul3/bukti/INC-001-saat-menunggu.png</t>
        </is>
      </c>
    </row>
    <row r="7">
      <c r="E7" s="3" t="inlineStr">
        <is>
          <t>Jumlah incident</t>
        </is>
      </c>
      <c r="F7" s="7">
        <f>COUNTA(A5:A5)</f>
        <v>1</v>
      </c>
    </row>
  </sheetData>
  <mergeCells count="1">
    <mergeCell ref="A2:H2"/>
  </mergeCells>
  <hyperlinks>
    <hyperlink xmlns:r="http://schemas.openxmlformats.org/officeDocument/2006/relationships" ref="G5" r:id="rId1"/>
    <hyperlink xmlns:r="http://schemas.openxmlformats.org/officeDocument/2006/relationships" ref="H5"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2026-10-02T04:43:50Z</dcterms:created>
  <dcterms:modified xsi:type="dcterms:W3CDTF">2026-10-02T04:43:50Z</dcterms:modified>
</cp:coreProperties>
</file>